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y Drive\Truth Collective\TC Evalaution Metrics and Documentations\"/>
    </mc:Choice>
  </mc:AlternateContent>
  <xr:revisionPtr revIDLastSave="0" documentId="8_{1D41E3A7-8B1A-41E9-BAEE-8AD312278F9F}" xr6:coauthVersionLast="47" xr6:coauthVersionMax="47" xr10:uidLastSave="{00000000-0000-0000-0000-000000000000}"/>
  <bookViews>
    <workbookView xWindow="59055" yWindow="2340" windowWidth="18105" windowHeight="9825" activeTab="1" xr2:uid="{F964D73A-C2B2-48C3-99B6-2EE70B9D9EEF}"/>
  </bookViews>
  <sheets>
    <sheet name="sheet" sheetId="1" r:id="rId1"/>
    <sheet name="Engineering Scoring " sheetId="2" r:id="rId2"/>
    <sheet name="Editorial Scoring" sheetId="3" r:id="rId3"/>
    <sheet name="Compliance Checklist" sheetId="4" r:id="rId4"/>
    <sheet name="Cat. Benchmark Set" sheetId="5" r:id="rId5"/>
    <sheet name="Page-Lvl Eval Sheet" sheetId="6" r:id="rId6"/>
    <sheet name="Weighted Scoring Model" sheetId="7" r:id="rId7"/>
    <sheet name="Mission-Critical Component Mat." sheetId="8" r:id="rId8"/>
    <sheet name="Standards &amp; Complianc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7" l="1"/>
</calcChain>
</file>

<file path=xl/sharedStrings.xml><?xml version="1.0" encoding="utf-8"?>
<sst xmlns="http://schemas.openxmlformats.org/spreadsheetml/2006/main" count="450" uniqueCount="202">
  <si>
    <t xml:space="preserve">Version </t>
  </si>
  <si>
    <t xml:space="preserve">Daniel Reid </t>
  </si>
  <si>
    <t xml:space="preserve">Truth Collective / ISI Consulting </t>
  </si>
  <si>
    <r>
      <t>Author:</t>
    </r>
    <r>
      <rPr>
        <sz val="18"/>
        <color theme="1"/>
        <rFont val="Playfair display"/>
      </rPr>
      <t xml:space="preserve"> </t>
    </r>
  </si>
  <si>
    <r>
      <t>Organization:</t>
    </r>
    <r>
      <rPr>
        <sz val="18"/>
        <color theme="1"/>
        <rFont val="Playfair display"/>
      </rPr>
      <t xml:space="preserve"> </t>
    </r>
  </si>
  <si>
    <r>
      <t>Document Type:</t>
    </r>
    <r>
      <rPr>
        <sz val="18"/>
        <color theme="1"/>
        <rFont val="Playfair display"/>
      </rPr>
      <t xml:space="preserve"> </t>
    </r>
  </si>
  <si>
    <r>
      <t>Date:</t>
    </r>
    <r>
      <rPr>
        <sz val="18"/>
        <color theme="1"/>
        <rFont val="Playfair display"/>
      </rPr>
      <t xml:space="preserve"> </t>
    </r>
  </si>
  <si>
    <t>Category‑specific</t>
  </si>
  <si>
    <t>Weight</t>
  </si>
  <si>
    <t>Lighting</t>
  </si>
  <si>
    <t>Computing</t>
  </si>
  <si>
    <t>Audio</t>
  </si>
  <si>
    <t>Workspace</t>
  </si>
  <si>
    <t>Revised Summary - Multi-stage Benchmarking (XII-B)</t>
  </si>
  <si>
    <t>Inclusions:</t>
  </si>
  <si>
    <t xml:space="preserve">Classifications: </t>
  </si>
  <si>
    <t xml:space="preserve">       Technical White Paper</t>
  </si>
  <si>
    <t xml:space="preserve">2.1ABB  Engineering Standards Division </t>
  </si>
  <si>
    <t>Public Technical Reference</t>
  </si>
  <si>
    <t>Component Category</t>
  </si>
  <si>
    <t>Mission‑Critical Component</t>
  </si>
  <si>
    <t>Weight (0–10)</t>
  </si>
  <si>
    <t>Product Score (0–10)</t>
  </si>
  <si>
    <t>Weighted Score</t>
  </si>
  <si>
    <t>Pass/Fail</t>
  </si>
  <si>
    <t>Notes</t>
  </si>
  <si>
    <t>Material Science</t>
  </si>
  <si>
    <t>Steel Gauge</t>
  </si>
  <si>
    <t>UL/CE</t>
  </si>
  <si>
    <t>Aluminum Grade</t>
  </si>
  <si>
    <t>ISO</t>
  </si>
  <si>
    <t>Hardwood Species</t>
  </si>
  <si>
    <t>NHLA</t>
  </si>
  <si>
    <t>Veneer Thickness</t>
  </si>
  <si>
    <t>AWI</t>
  </si>
  <si>
    <t>Polymer Purity</t>
  </si>
  <si>
    <t>RoHS</t>
  </si>
  <si>
    <t>Electronics</t>
  </si>
  <si>
    <t>PCB Layer Count</t>
  </si>
  <si>
    <t>IEC</t>
  </si>
  <si>
    <t>Copper Trace Thickness</t>
  </si>
  <si>
    <t>Manufacturing</t>
  </si>
  <si>
    <t>CNC Machining Tolerance</t>
  </si>
  <si>
    <t>Injection Molding Quality</t>
  </si>
  <si>
    <t>Die Casting Quality</t>
  </si>
  <si>
    <t>Joinery Method</t>
  </si>
  <si>
    <t>Fastener Grade</t>
  </si>
  <si>
    <t>ANSI</t>
  </si>
  <si>
    <t>Adhesive Grade</t>
  </si>
  <si>
    <t>Structural</t>
  </si>
  <si>
    <t>Load Capacity</t>
  </si>
  <si>
    <t>BIFMA</t>
  </si>
  <si>
    <t>Deflection Under Load</t>
  </si>
  <si>
    <t>Frame Rigidity</t>
  </si>
  <si>
    <t>Vibration Control</t>
  </si>
  <si>
    <t>Electrical</t>
  </si>
  <si>
    <t>Voltage Stability</t>
  </si>
  <si>
    <t>UL/ETL/CSA</t>
  </si>
  <si>
    <t>Current Handling</t>
  </si>
  <si>
    <t>Overcurrent Protection</t>
  </si>
  <si>
    <t>Wire Gauge (AWG)</t>
  </si>
  <si>
    <t>UL</t>
  </si>
  <si>
    <t>Insulation Rating</t>
  </si>
  <si>
    <t>Connector Quality</t>
  </si>
  <si>
    <t>Power Supply Certification (80+)</t>
  </si>
  <si>
    <t>Acoustic</t>
  </si>
  <si>
    <t>Frequency Response Accuracy</t>
  </si>
  <si>
    <t>AES</t>
  </si>
  <si>
    <t>Impedance</t>
  </si>
  <si>
    <t>Sensitivity</t>
  </si>
  <si>
    <t>SNR</t>
  </si>
  <si>
    <t>THD</t>
  </si>
  <si>
    <t>Cabinet Resonance Control</t>
  </si>
  <si>
    <t>Digital</t>
  </si>
  <si>
    <t>CPU Architecture</t>
  </si>
  <si>
    <t>IEEE</t>
  </si>
  <si>
    <t>GPU Capability</t>
  </si>
  <si>
    <t>RAM Timings</t>
  </si>
  <si>
    <t>JEDEC</t>
  </si>
  <si>
    <t>SSD Controller Type</t>
  </si>
  <si>
    <t>Network Standards</t>
  </si>
  <si>
    <t>Latency &amp; Throughput</t>
  </si>
  <si>
    <t>AI Processing Capability</t>
  </si>
  <si>
    <t>Automation</t>
  </si>
  <si>
    <t>Protocol Reliability</t>
  </si>
  <si>
    <t>Matter/Zigbee/Z‑Wave</t>
  </si>
  <si>
    <t>Sensor Accuracy</t>
  </si>
  <si>
    <t>Firmware Stability</t>
  </si>
  <si>
    <t>Interoperability</t>
  </si>
  <si>
    <t>Matter</t>
  </si>
  <si>
    <t>Automation Latency</t>
  </si>
  <si>
    <t>LED Binning Quality</t>
  </si>
  <si>
    <t>CIE</t>
  </si>
  <si>
    <t>CRI</t>
  </si>
  <si>
    <t>IES</t>
  </si>
  <si>
    <t>CCT Stability</t>
  </si>
  <si>
    <t>Driver Reliability</t>
  </si>
  <si>
    <t>Thermal Dissipation</t>
  </si>
  <si>
    <t>Lifecycle</t>
  </si>
  <si>
    <t>Fatigue Resistance</t>
  </si>
  <si>
    <t>Wear‑Cycle Durability</t>
  </si>
  <si>
    <t>Thermal Stability Over Time</t>
  </si>
  <si>
    <t>Firmware Update Reliability</t>
  </si>
  <si>
    <t>Manufacturer</t>
  </si>
  <si>
    <t>Serviceability</t>
  </si>
  <si>
    <t>Warranty Strength</t>
  </si>
  <si>
    <t>Compliance</t>
  </si>
  <si>
    <t>Editorial Metric Category</t>
  </si>
  <si>
    <t>Metric</t>
  </si>
  <si>
    <t>Score (0–10)</t>
  </si>
  <si>
    <t>Author Authority</t>
  </si>
  <si>
    <t>Professional Credentials</t>
  </si>
  <si>
    <t>Subject Matter Expertise</t>
  </si>
  <si>
    <t>Industry Recognition</t>
  </si>
  <si>
    <t>Content Quality</t>
  </si>
  <si>
    <t>Accuracy</t>
  </si>
  <si>
    <t>Depth</t>
  </si>
  <si>
    <t>Completeness</t>
  </si>
  <si>
    <t>Evidence Use</t>
  </si>
  <si>
    <t>Logical Clarity</t>
  </si>
  <si>
    <t>Reception</t>
  </si>
  <si>
    <t>Critical Reviews</t>
  </si>
  <si>
    <t>Reader Longevity</t>
  </si>
  <si>
    <t>Category Relevance</t>
  </si>
  <si>
    <t>Continued Relevance</t>
  </si>
  <si>
    <t>Communication</t>
  </si>
  <si>
    <t>Clarity</t>
  </si>
  <si>
    <t>Accessibility</t>
  </si>
  <si>
    <t>Practical Applicability</t>
  </si>
  <si>
    <t>Narrative Coherence</t>
  </si>
  <si>
    <t>Ethics</t>
  </si>
  <si>
    <t>Bias Avoidance</t>
  </si>
  <si>
    <t>Ethical Presentation</t>
  </si>
  <si>
    <t>Transparency</t>
  </si>
  <si>
    <t>Category Alignment</t>
  </si>
  <si>
    <t>Overall</t>
  </si>
  <si>
    <t>Editorial Quality</t>
  </si>
  <si>
    <t>Standard</t>
  </si>
  <si>
    <t>Category</t>
  </si>
  <si>
    <t>Yes</t>
  </si>
  <si>
    <t>ETL</t>
  </si>
  <si>
    <t>CSA</t>
  </si>
  <si>
    <t>FCC</t>
  </si>
  <si>
    <t>CE</t>
  </si>
  <si>
    <t>Electrical/Environmental</t>
  </si>
  <si>
    <t>ISO 9001</t>
  </si>
  <si>
    <t>ISO/IEC</t>
  </si>
  <si>
    <t>Electrical/Digital</t>
  </si>
  <si>
    <t>Woodworking</t>
  </si>
  <si>
    <t>Hardwood</t>
  </si>
  <si>
    <t>Machinery</t>
  </si>
  <si>
    <t>SPJ</t>
  </si>
  <si>
    <t>Editorial</t>
  </si>
  <si>
    <t>APA</t>
  </si>
  <si>
    <t>WHO</t>
  </si>
  <si>
    <t>NIMH</t>
  </si>
  <si>
    <t>FTC</t>
  </si>
  <si>
    <t>Required (Y/N)</t>
  </si>
  <si>
    <t>Component</t>
  </si>
  <si>
    <t>Frame Material</t>
  </si>
  <si>
    <t>Desktop Composition</t>
  </si>
  <si>
    <t>Driver Quality</t>
  </si>
  <si>
    <t>Cabinet Construction</t>
  </si>
  <si>
    <t>LED Binning</t>
  </si>
  <si>
    <t>SSD Controller</t>
  </si>
  <si>
    <t>Score</t>
  </si>
  <si>
    <t>Engineering Total</t>
  </si>
  <si>
    <t>Editorial Total</t>
  </si>
  <si>
    <t>Final Grade</t>
  </si>
  <si>
    <t>Page Type</t>
  </si>
  <si>
    <t>Page‑Specific Metric</t>
  </si>
  <si>
    <t>Product Page</t>
  </si>
  <si>
    <t>Mission‑Critical Components</t>
  </si>
  <si>
    <t>Compliance Verification</t>
  </si>
  <si>
    <t>Divergence From Category Norms</t>
  </si>
  <si>
    <t>Editorial Page</t>
  </si>
  <si>
    <t>Ethical Review</t>
  </si>
  <si>
    <t>Book Page</t>
  </si>
  <si>
    <t>21‑Point Metric</t>
  </si>
  <si>
    <t>Full Readthrough</t>
  </si>
  <si>
    <t>Minimum Threshold</t>
  </si>
  <si>
    <t>Product Score</t>
  </si>
  <si>
    <t>Desks</t>
  </si>
  <si>
    <t>High‑grade steel/aluminum</t>
  </si>
  <si>
    <t>AWI‑approved</t>
  </si>
  <si>
    <t>Solid wood or high‑grade composite</t>
  </si>
  <si>
    <t>Speakers</t>
  </si>
  <si>
    <t>AES‑approved</t>
  </si>
  <si>
    <t>Internal bracing required</t>
  </si>
  <si>
    <t>CIE‑approved</t>
  </si>
  <si>
    <t>≥90</t>
  </si>
  <si>
    <t>IEC‑approved</t>
  </si>
  <si>
    <t>Modern multi‑core</t>
  </si>
  <si>
    <t>Tier‑1 controller</t>
  </si>
  <si>
    <t>Compliance Body</t>
  </si>
  <si>
    <t>Product Compliant?</t>
  </si>
  <si>
    <t>Certification #</t>
  </si>
  <si>
    <t>Expiration</t>
  </si>
  <si>
    <t>Energy Star</t>
  </si>
  <si>
    <t>Optional</t>
  </si>
  <si>
    <t>IATF 16949</t>
  </si>
  <si>
    <t>AS9100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</si>
</sst>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Playfair display"/>
    </font>
    <font>
      <sz val="18"/>
      <color theme="1"/>
      <name val="Playfair display"/>
    </font>
    <font>
      <sz val="11"/>
      <color theme="1"/>
      <name val="Playfair display"/>
    </font>
    <font>
      <b/>
      <sz val="20"/>
      <color theme="1"/>
      <name val="Playfair display"/>
    </font>
    <font>
      <sz val="17"/>
      <color theme="1"/>
      <name val="Playfair display"/>
    </font>
    <font>
      <sz val="10"/>
      <color theme="1"/>
      <name val="Playfair display"/>
    </font>
    <font>
      <b/>
      <sz val="11"/>
      <color theme="1"/>
      <name val="Playfair display"/>
    </font>
    <font>
      <b/>
      <sz val="10"/>
      <color theme="1"/>
      <name val="Playfair display"/>
    </font>
    <font>
      <b/>
      <sz val="14"/>
      <color theme="1"/>
      <name val="Playfair display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4" fillId="0" borderId="0" xfId="0" applyFont="1"/>
    <xf numFmtId="17" fontId="5" fillId="0" borderId="6" xfId="0" applyNumberFormat="1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2" fillId="0" borderId="7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BC7C-FCF9-4A77-8D8F-BAE1CA002743}">
  <sheetPr codeName="Sheet1"/>
  <dimension ref="A1:B8"/>
  <sheetViews>
    <sheetView tabSelected="1" zoomScaleNormal="100" workbookViewId="0">
      <selection activeCell="B2" sqref="B2"/>
    </sheetView>
  </sheetViews>
  <sheetFormatPr defaultRowHeight="14.4" x14ac:dyDescent="0.55000000000000004"/>
  <cols>
    <col min="1" max="1" width="34.05078125" customWidth="1"/>
    <col min="2" max="2" width="114.83984375" bestFit="1" customWidth="1"/>
  </cols>
  <sheetData>
    <row r="1" spans="1:2" ht="33.299999999999997" x14ac:dyDescent="1.55">
      <c r="A1" s="9" t="s">
        <v>16</v>
      </c>
      <c r="B1" s="10"/>
    </row>
    <row r="2" spans="1:2" ht="30" x14ac:dyDescent="1.4">
      <c r="A2" s="2" t="s">
        <v>0</v>
      </c>
      <c r="B2" s="3" t="s">
        <v>17</v>
      </c>
    </row>
    <row r="3" spans="1:2" ht="30" x14ac:dyDescent="1.4">
      <c r="A3" s="2" t="s">
        <v>3</v>
      </c>
      <c r="B3" s="3" t="s">
        <v>1</v>
      </c>
    </row>
    <row r="4" spans="1:2" ht="30" x14ac:dyDescent="1.4">
      <c r="A4" s="2" t="s">
        <v>4</v>
      </c>
      <c r="B4" s="3" t="s">
        <v>2</v>
      </c>
    </row>
    <row r="5" spans="1:2" ht="30" hidden="1" x14ac:dyDescent="1.4">
      <c r="A5" s="2" t="s">
        <v>14</v>
      </c>
      <c r="B5" s="7"/>
    </row>
    <row r="6" spans="1:2" ht="30" x14ac:dyDescent="1.4">
      <c r="A6" s="2" t="s">
        <v>5</v>
      </c>
      <c r="B6" s="3" t="s">
        <v>13</v>
      </c>
    </row>
    <row r="7" spans="1:2" ht="30" x14ac:dyDescent="1.4">
      <c r="A7" s="8" t="s">
        <v>15</v>
      </c>
      <c r="B7" s="1" t="s">
        <v>18</v>
      </c>
    </row>
    <row r="8" spans="1:2" ht="33.6" thickBot="1" x14ac:dyDescent="1.6">
      <c r="A8" s="4" t="s">
        <v>6</v>
      </c>
      <c r="B8" s="6">
        <v>46235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7B90-F09C-4D91-94FD-E4B6C6BD1059}">
  <sheetPr codeName="Sheet2"/>
  <dimension ref="A1:G54"/>
  <sheetViews>
    <sheetView tabSelected="1" showWhiteSpace="0" view="pageLayout" zoomScaleNormal="100" workbookViewId="0">
      <selection activeCell="B2" sqref="B2"/>
    </sheetView>
  </sheetViews>
  <sheetFormatPr defaultRowHeight="18.3" x14ac:dyDescent="0.55000000000000004"/>
  <cols>
    <col min="1" max="1" width="16.47265625" style="29" customWidth="1"/>
    <col min="2" max="2" width="16.89453125" style="29" customWidth="1"/>
    <col min="3" max="3" width="7.83984375" style="28" customWidth="1"/>
    <col min="4" max="4" width="14" style="28" customWidth="1"/>
    <col min="5" max="5" width="9.3125" style="28" customWidth="1"/>
    <col min="6" max="6" width="8.578125" style="28" customWidth="1"/>
    <col min="7" max="7" width="10.47265625" style="30" customWidth="1"/>
    <col min="8" max="16384" width="8.83984375" style="28"/>
  </cols>
  <sheetData>
    <row r="1" spans="1:7" s="28" customFormat="1" ht="47.4" customHeight="1" x14ac:dyDescent="0.55000000000000004">
      <c r="A1" s="17" t="s">
        <v>19</v>
      </c>
      <c r="B1" s="17" t="s">
        <v>20</v>
      </c>
      <c r="C1" s="17" t="s">
        <v>21</v>
      </c>
      <c r="D1" s="17" t="s">
        <v>22</v>
      </c>
      <c r="E1" s="27" t="s">
        <v>23</v>
      </c>
      <c r="F1" s="27" t="s">
        <v>24</v>
      </c>
      <c r="G1" s="27" t="s">
        <v>106</v>
      </c>
    </row>
    <row r="2" spans="1:7" s="28" customFormat="1" ht="32.4" customHeight="1" x14ac:dyDescent="0.55000000000000004">
      <c r="A2" s="29" t="s">
        <v>26</v>
      </c>
      <c r="B2" s="29" t="s">
        <v>27</v>
      </c>
      <c r="C2" s="28">
        <v>9</v>
      </c>
      <c r="G2" s="30" t="s">
        <v>28</v>
      </c>
    </row>
    <row r="3" spans="1:7" s="28" customFormat="1" ht="32.4" customHeight="1" x14ac:dyDescent="0.55000000000000004">
      <c r="A3" s="29" t="s">
        <v>26</v>
      </c>
      <c r="B3" s="29" t="s">
        <v>29</v>
      </c>
      <c r="C3" s="28">
        <v>8</v>
      </c>
      <c r="G3" s="30" t="s">
        <v>30</v>
      </c>
    </row>
    <row r="4" spans="1:7" s="28" customFormat="1" ht="32.4" customHeight="1" x14ac:dyDescent="0.55000000000000004">
      <c r="A4" s="29" t="s">
        <v>26</v>
      </c>
      <c r="B4" s="29" t="s">
        <v>31</v>
      </c>
      <c r="C4" s="28">
        <v>7</v>
      </c>
      <c r="G4" s="30" t="s">
        <v>32</v>
      </c>
    </row>
    <row r="5" spans="1:7" s="28" customFormat="1" ht="32.4" customHeight="1" x14ac:dyDescent="0.55000000000000004">
      <c r="A5" s="29" t="s">
        <v>26</v>
      </c>
      <c r="B5" s="29" t="s">
        <v>33</v>
      </c>
      <c r="C5" s="28">
        <v>6</v>
      </c>
      <c r="G5" s="30" t="s">
        <v>34</v>
      </c>
    </row>
    <row r="6" spans="1:7" s="28" customFormat="1" ht="32.4" customHeight="1" x14ac:dyDescent="0.55000000000000004">
      <c r="A6" s="29" t="s">
        <v>26</v>
      </c>
      <c r="B6" s="29" t="s">
        <v>35</v>
      </c>
      <c r="C6" s="28">
        <v>7</v>
      </c>
      <c r="G6" s="30" t="s">
        <v>36</v>
      </c>
    </row>
    <row r="7" spans="1:7" s="28" customFormat="1" ht="32.4" customHeight="1" x14ac:dyDescent="0.55000000000000004">
      <c r="A7" s="29" t="s">
        <v>37</v>
      </c>
      <c r="B7" s="29" t="s">
        <v>38</v>
      </c>
      <c r="C7" s="28">
        <v>9</v>
      </c>
      <c r="G7" s="30" t="s">
        <v>39</v>
      </c>
    </row>
    <row r="8" spans="1:7" s="28" customFormat="1" ht="32.4" customHeight="1" x14ac:dyDescent="0.55000000000000004">
      <c r="A8" s="29" t="s">
        <v>37</v>
      </c>
      <c r="B8" s="29" t="s">
        <v>40</v>
      </c>
      <c r="C8" s="28">
        <v>8</v>
      </c>
      <c r="G8" s="30" t="s">
        <v>39</v>
      </c>
    </row>
    <row r="9" spans="1:7" s="28" customFormat="1" ht="32.4" customHeight="1" x14ac:dyDescent="0.55000000000000004">
      <c r="A9" s="29" t="s">
        <v>41</v>
      </c>
      <c r="B9" s="29" t="s">
        <v>42</v>
      </c>
      <c r="C9" s="28">
        <v>9</v>
      </c>
      <c r="G9" s="30" t="s">
        <v>30</v>
      </c>
    </row>
    <row r="10" spans="1:7" s="28" customFormat="1" ht="32.4" customHeight="1" x14ac:dyDescent="0.55000000000000004">
      <c r="A10" s="29" t="s">
        <v>41</v>
      </c>
      <c r="B10" s="29" t="s">
        <v>43</v>
      </c>
      <c r="C10" s="28">
        <v>7</v>
      </c>
      <c r="G10" s="30" t="s">
        <v>30</v>
      </c>
    </row>
    <row r="11" spans="1:7" s="28" customFormat="1" ht="32.4" customHeight="1" x14ac:dyDescent="0.55000000000000004">
      <c r="A11" s="29" t="s">
        <v>41</v>
      </c>
      <c r="B11" s="29" t="s">
        <v>44</v>
      </c>
      <c r="C11" s="28">
        <v>7</v>
      </c>
      <c r="G11" s="30" t="s">
        <v>30</v>
      </c>
    </row>
    <row r="12" spans="1:7" s="28" customFormat="1" ht="32.4" customHeight="1" x14ac:dyDescent="0.55000000000000004">
      <c r="A12" s="29" t="s">
        <v>41</v>
      </c>
      <c r="B12" s="29" t="s">
        <v>45</v>
      </c>
      <c r="C12" s="28">
        <v>8</v>
      </c>
      <c r="G12" s="30" t="s">
        <v>34</v>
      </c>
    </row>
    <row r="13" spans="1:7" s="28" customFormat="1" ht="32.4" customHeight="1" x14ac:dyDescent="0.55000000000000004">
      <c r="A13" s="29" t="s">
        <v>41</v>
      </c>
      <c r="B13" s="29" t="s">
        <v>46</v>
      </c>
      <c r="C13" s="28">
        <v>8</v>
      </c>
      <c r="G13" s="30" t="s">
        <v>47</v>
      </c>
    </row>
    <row r="14" spans="1:7" s="28" customFormat="1" ht="32.4" customHeight="1" x14ac:dyDescent="0.55000000000000004">
      <c r="A14" s="29" t="s">
        <v>41</v>
      </c>
      <c r="B14" s="29" t="s">
        <v>48</v>
      </c>
      <c r="C14" s="28">
        <v>6</v>
      </c>
      <c r="G14" s="30" t="s">
        <v>34</v>
      </c>
    </row>
    <row r="15" spans="1:7" s="28" customFormat="1" ht="32.4" customHeight="1" x14ac:dyDescent="0.55000000000000004">
      <c r="A15" s="29" t="s">
        <v>49</v>
      </c>
      <c r="B15" s="29" t="s">
        <v>50</v>
      </c>
      <c r="C15" s="28">
        <v>10</v>
      </c>
      <c r="G15" s="30" t="s">
        <v>51</v>
      </c>
    </row>
    <row r="16" spans="1:7" s="28" customFormat="1" ht="32.4" customHeight="1" x14ac:dyDescent="0.55000000000000004">
      <c r="A16" s="29" t="s">
        <v>49</v>
      </c>
      <c r="B16" s="29" t="s">
        <v>52</v>
      </c>
      <c r="C16" s="28">
        <v>9</v>
      </c>
      <c r="G16" s="30" t="s">
        <v>51</v>
      </c>
    </row>
    <row r="17" spans="1:7" s="28" customFormat="1" ht="32.4" customHeight="1" x14ac:dyDescent="0.55000000000000004">
      <c r="A17" s="29" t="s">
        <v>49</v>
      </c>
      <c r="B17" s="29" t="s">
        <v>53</v>
      </c>
      <c r="C17" s="28">
        <v>9</v>
      </c>
      <c r="G17" s="30" t="s">
        <v>51</v>
      </c>
    </row>
    <row r="18" spans="1:7" s="28" customFormat="1" x14ac:dyDescent="0.55000000000000004">
      <c r="A18" s="29" t="s">
        <v>49</v>
      </c>
      <c r="B18" s="29" t="s">
        <v>54</v>
      </c>
      <c r="C18" s="28">
        <v>8</v>
      </c>
      <c r="G18" s="30" t="s">
        <v>51</v>
      </c>
    </row>
    <row r="19" spans="1:7" s="28" customFormat="1" ht="32.4" customHeight="1" x14ac:dyDescent="0.55000000000000004">
      <c r="A19" s="29" t="s">
        <v>55</v>
      </c>
      <c r="B19" s="29" t="s">
        <v>56</v>
      </c>
      <c r="C19" s="28">
        <v>10</v>
      </c>
      <c r="G19" s="30" t="s">
        <v>57</v>
      </c>
    </row>
    <row r="20" spans="1:7" s="28" customFormat="1" ht="32.4" customHeight="1" x14ac:dyDescent="0.55000000000000004">
      <c r="A20" s="29" t="s">
        <v>55</v>
      </c>
      <c r="B20" s="29" t="s">
        <v>58</v>
      </c>
      <c r="C20" s="28">
        <v>9</v>
      </c>
      <c r="G20" s="30" t="s">
        <v>57</v>
      </c>
    </row>
    <row r="21" spans="1:7" s="28" customFormat="1" ht="32.4" customHeight="1" x14ac:dyDescent="0.55000000000000004">
      <c r="A21" s="29" t="s">
        <v>55</v>
      </c>
      <c r="B21" s="29" t="s">
        <v>59</v>
      </c>
      <c r="C21" s="28">
        <v>10</v>
      </c>
      <c r="G21" s="30" t="s">
        <v>57</v>
      </c>
    </row>
    <row r="22" spans="1:7" s="28" customFormat="1" ht="32.4" customHeight="1" x14ac:dyDescent="0.55000000000000004">
      <c r="A22" s="29" t="s">
        <v>55</v>
      </c>
      <c r="B22" s="29" t="s">
        <v>60</v>
      </c>
      <c r="C22" s="28">
        <v>8</v>
      </c>
      <c r="G22" s="30" t="s">
        <v>61</v>
      </c>
    </row>
    <row r="23" spans="1:7" s="28" customFormat="1" ht="32.4" customHeight="1" x14ac:dyDescent="0.55000000000000004">
      <c r="A23" s="29" t="s">
        <v>55</v>
      </c>
      <c r="B23" s="29" t="s">
        <v>62</v>
      </c>
      <c r="C23" s="28">
        <v>8</v>
      </c>
      <c r="G23" s="30" t="s">
        <v>61</v>
      </c>
    </row>
    <row r="24" spans="1:7" s="28" customFormat="1" ht="32.4" customHeight="1" x14ac:dyDescent="0.55000000000000004">
      <c r="A24" s="29" t="s">
        <v>55</v>
      </c>
      <c r="B24" s="29" t="s">
        <v>63</v>
      </c>
      <c r="C24" s="28">
        <v>7</v>
      </c>
      <c r="G24" s="30" t="s">
        <v>61</v>
      </c>
    </row>
    <row r="25" spans="1:7" s="28" customFormat="1" ht="32.4" customHeight="1" x14ac:dyDescent="0.55000000000000004">
      <c r="A25" s="29" t="s">
        <v>55</v>
      </c>
      <c r="B25" s="29" t="s">
        <v>64</v>
      </c>
      <c r="C25" s="28">
        <v>9</v>
      </c>
      <c r="G25" s="30" t="s">
        <v>61</v>
      </c>
    </row>
    <row r="26" spans="1:7" s="28" customFormat="1" ht="32.4" customHeight="1" x14ac:dyDescent="0.55000000000000004">
      <c r="A26" s="29" t="s">
        <v>65</v>
      </c>
      <c r="B26" s="29" t="s">
        <v>66</v>
      </c>
      <c r="C26" s="28">
        <v>9</v>
      </c>
      <c r="G26" s="30" t="s">
        <v>67</v>
      </c>
    </row>
    <row r="27" spans="1:7" s="28" customFormat="1" ht="32.4" customHeight="1" x14ac:dyDescent="0.55000000000000004">
      <c r="A27" s="29" t="s">
        <v>65</v>
      </c>
      <c r="B27" s="29" t="s">
        <v>68</v>
      </c>
      <c r="C27" s="28">
        <v>7</v>
      </c>
      <c r="G27" s="30" t="s">
        <v>67</v>
      </c>
    </row>
    <row r="28" spans="1:7" s="28" customFormat="1" ht="32.4" customHeight="1" x14ac:dyDescent="0.55000000000000004">
      <c r="A28" s="29" t="s">
        <v>65</v>
      </c>
      <c r="B28" s="29" t="s">
        <v>69</v>
      </c>
      <c r="C28" s="28">
        <v>7</v>
      </c>
      <c r="G28" s="30" t="s">
        <v>67</v>
      </c>
    </row>
    <row r="29" spans="1:7" s="28" customFormat="1" ht="32.4" customHeight="1" x14ac:dyDescent="0.55000000000000004">
      <c r="A29" s="29" t="s">
        <v>65</v>
      </c>
      <c r="B29" s="29" t="s">
        <v>70</v>
      </c>
      <c r="C29" s="28">
        <v>8</v>
      </c>
      <c r="G29" s="30" t="s">
        <v>67</v>
      </c>
    </row>
    <row r="30" spans="1:7" s="28" customFormat="1" ht="32.4" customHeight="1" x14ac:dyDescent="0.55000000000000004">
      <c r="A30" s="29" t="s">
        <v>65</v>
      </c>
      <c r="B30" s="29" t="s">
        <v>71</v>
      </c>
      <c r="C30" s="28">
        <v>9</v>
      </c>
      <c r="G30" s="30" t="s">
        <v>67</v>
      </c>
    </row>
    <row r="31" spans="1:7" s="28" customFormat="1" ht="32.4" customHeight="1" x14ac:dyDescent="0.55000000000000004">
      <c r="A31" s="29" t="s">
        <v>65</v>
      </c>
      <c r="B31" s="29" t="s">
        <v>72</v>
      </c>
      <c r="C31" s="28">
        <v>8</v>
      </c>
      <c r="G31" s="30" t="s">
        <v>67</v>
      </c>
    </row>
    <row r="32" spans="1:7" s="28" customFormat="1" ht="32.4" customHeight="1" x14ac:dyDescent="0.55000000000000004">
      <c r="A32" s="29" t="s">
        <v>73</v>
      </c>
      <c r="B32" s="29" t="s">
        <v>74</v>
      </c>
      <c r="C32" s="28">
        <v>9</v>
      </c>
      <c r="G32" s="30" t="s">
        <v>75</v>
      </c>
    </row>
    <row r="33" spans="1:7" s="28" customFormat="1" ht="32.4" customHeight="1" x14ac:dyDescent="0.55000000000000004">
      <c r="A33" s="29" t="s">
        <v>73</v>
      </c>
      <c r="B33" s="29" t="s">
        <v>76</v>
      </c>
      <c r="C33" s="28">
        <v>8</v>
      </c>
      <c r="G33" s="30" t="s">
        <v>75</v>
      </c>
    </row>
    <row r="34" spans="1:7" s="28" customFormat="1" ht="32.4" customHeight="1" x14ac:dyDescent="0.55000000000000004">
      <c r="A34" s="29" t="s">
        <v>73</v>
      </c>
      <c r="B34" s="29" t="s">
        <v>77</v>
      </c>
      <c r="C34" s="28">
        <v>7</v>
      </c>
      <c r="G34" s="30" t="s">
        <v>78</v>
      </c>
    </row>
    <row r="35" spans="1:7" s="28" customFormat="1" ht="32.4" customHeight="1" x14ac:dyDescent="0.55000000000000004">
      <c r="A35" s="29" t="s">
        <v>73</v>
      </c>
      <c r="B35" s="29" t="s">
        <v>79</v>
      </c>
      <c r="C35" s="28">
        <v>8</v>
      </c>
      <c r="G35" s="30" t="s">
        <v>78</v>
      </c>
    </row>
    <row r="36" spans="1:7" s="28" customFormat="1" ht="32.4" customHeight="1" x14ac:dyDescent="0.55000000000000004">
      <c r="A36" s="29" t="s">
        <v>73</v>
      </c>
      <c r="B36" s="29" t="s">
        <v>80</v>
      </c>
      <c r="C36" s="28">
        <v>7</v>
      </c>
      <c r="G36" s="30" t="s">
        <v>75</v>
      </c>
    </row>
    <row r="37" spans="1:7" s="28" customFormat="1" ht="32.4" customHeight="1" x14ac:dyDescent="0.55000000000000004">
      <c r="A37" s="29" t="s">
        <v>73</v>
      </c>
      <c r="B37" s="29" t="s">
        <v>81</v>
      </c>
      <c r="C37" s="28">
        <v>8</v>
      </c>
      <c r="G37" s="30" t="s">
        <v>75</v>
      </c>
    </row>
    <row r="38" spans="1:7" s="28" customFormat="1" ht="32.4" customHeight="1" x14ac:dyDescent="0.55000000000000004">
      <c r="A38" s="29" t="s">
        <v>73</v>
      </c>
      <c r="B38" s="29" t="s">
        <v>82</v>
      </c>
      <c r="C38" s="28">
        <v>9</v>
      </c>
      <c r="G38" s="30" t="s">
        <v>75</v>
      </c>
    </row>
    <row r="39" spans="1:7" s="28" customFormat="1" ht="32.4" customHeight="1" x14ac:dyDescent="0.55000000000000004">
      <c r="A39" s="29" t="s">
        <v>83</v>
      </c>
      <c r="B39" s="29" t="s">
        <v>84</v>
      </c>
      <c r="C39" s="28">
        <v>9</v>
      </c>
      <c r="G39" s="30" t="s">
        <v>85</v>
      </c>
    </row>
    <row r="40" spans="1:7" s="28" customFormat="1" ht="32.4" customHeight="1" x14ac:dyDescent="0.55000000000000004">
      <c r="A40" s="29" t="s">
        <v>83</v>
      </c>
      <c r="B40" s="29" t="s">
        <v>86</v>
      </c>
      <c r="C40" s="28">
        <v>8</v>
      </c>
      <c r="G40" s="30" t="s">
        <v>39</v>
      </c>
    </row>
    <row r="41" spans="1:7" s="28" customFormat="1" ht="32.4" customHeight="1" x14ac:dyDescent="0.55000000000000004">
      <c r="A41" s="29" t="s">
        <v>83</v>
      </c>
      <c r="B41" s="29" t="s">
        <v>87</v>
      </c>
      <c r="C41" s="28">
        <v>7</v>
      </c>
      <c r="G41" s="30" t="s">
        <v>39</v>
      </c>
    </row>
    <row r="42" spans="1:7" s="28" customFormat="1" ht="32.4" customHeight="1" x14ac:dyDescent="0.55000000000000004">
      <c r="A42" s="29" t="s">
        <v>83</v>
      </c>
      <c r="B42" s="29" t="s">
        <v>88</v>
      </c>
      <c r="C42" s="28">
        <v>8</v>
      </c>
      <c r="G42" s="30" t="s">
        <v>89</v>
      </c>
    </row>
    <row r="43" spans="1:7" s="28" customFormat="1" ht="32.4" customHeight="1" x14ac:dyDescent="0.55000000000000004">
      <c r="A43" s="29" t="s">
        <v>83</v>
      </c>
      <c r="B43" s="29" t="s">
        <v>90</v>
      </c>
      <c r="C43" s="28">
        <v>8</v>
      </c>
      <c r="G43" s="30" t="s">
        <v>75</v>
      </c>
    </row>
    <row r="44" spans="1:7" s="28" customFormat="1" ht="32.4" customHeight="1" x14ac:dyDescent="0.55000000000000004">
      <c r="A44" s="29" t="s">
        <v>9</v>
      </c>
      <c r="B44" s="29" t="s">
        <v>91</v>
      </c>
      <c r="C44" s="28">
        <v>9</v>
      </c>
      <c r="G44" s="30" t="s">
        <v>92</v>
      </c>
    </row>
    <row r="45" spans="1:7" s="28" customFormat="1" ht="32.4" customHeight="1" x14ac:dyDescent="0.55000000000000004">
      <c r="A45" s="29" t="s">
        <v>9</v>
      </c>
      <c r="B45" s="29" t="s">
        <v>93</v>
      </c>
      <c r="C45" s="28">
        <v>8</v>
      </c>
      <c r="G45" s="30" t="s">
        <v>94</v>
      </c>
    </row>
    <row r="46" spans="1:7" s="28" customFormat="1" ht="32.4" customHeight="1" x14ac:dyDescent="0.55000000000000004">
      <c r="A46" s="29" t="s">
        <v>9</v>
      </c>
      <c r="B46" s="29" t="s">
        <v>95</v>
      </c>
      <c r="C46" s="28">
        <v>7</v>
      </c>
      <c r="G46" s="30" t="s">
        <v>92</v>
      </c>
    </row>
    <row r="47" spans="1:7" s="28" customFormat="1" ht="32.4" customHeight="1" x14ac:dyDescent="0.55000000000000004">
      <c r="A47" s="29" t="s">
        <v>9</v>
      </c>
      <c r="B47" s="29" t="s">
        <v>96</v>
      </c>
      <c r="C47" s="28">
        <v>9</v>
      </c>
      <c r="G47" s="30" t="s">
        <v>61</v>
      </c>
    </row>
    <row r="48" spans="1:7" s="28" customFormat="1" ht="32.4" customHeight="1" x14ac:dyDescent="0.55000000000000004">
      <c r="A48" s="29" t="s">
        <v>9</v>
      </c>
      <c r="B48" s="29" t="s">
        <v>97</v>
      </c>
      <c r="C48" s="28">
        <v>8</v>
      </c>
      <c r="G48" s="30" t="s">
        <v>61</v>
      </c>
    </row>
    <row r="49" spans="1:7" s="28" customFormat="1" ht="32.4" customHeight="1" x14ac:dyDescent="0.55000000000000004">
      <c r="A49" s="29" t="s">
        <v>98</v>
      </c>
      <c r="B49" s="29" t="s">
        <v>99</v>
      </c>
      <c r="C49" s="28">
        <v>9</v>
      </c>
      <c r="G49" s="30" t="s">
        <v>30</v>
      </c>
    </row>
    <row r="50" spans="1:7" s="28" customFormat="1" ht="32.4" customHeight="1" x14ac:dyDescent="0.55000000000000004">
      <c r="A50" s="29" t="s">
        <v>98</v>
      </c>
      <c r="B50" s="29" t="s">
        <v>100</v>
      </c>
      <c r="C50" s="28">
        <v>8</v>
      </c>
      <c r="G50" s="30" t="s">
        <v>30</v>
      </c>
    </row>
    <row r="51" spans="1:7" s="28" customFormat="1" ht="32.4" customHeight="1" x14ac:dyDescent="0.55000000000000004">
      <c r="A51" s="29" t="s">
        <v>98</v>
      </c>
      <c r="B51" s="29" t="s">
        <v>101</v>
      </c>
      <c r="C51" s="28">
        <v>8</v>
      </c>
      <c r="G51" s="30" t="s">
        <v>39</v>
      </c>
    </row>
    <row r="52" spans="1:7" s="28" customFormat="1" ht="32.4" customHeight="1" x14ac:dyDescent="0.55000000000000004">
      <c r="A52" s="29" t="s">
        <v>98</v>
      </c>
      <c r="B52" s="29" t="s">
        <v>102</v>
      </c>
      <c r="C52" s="28">
        <v>7</v>
      </c>
      <c r="G52" s="30" t="s">
        <v>103</v>
      </c>
    </row>
    <row r="53" spans="1:7" s="28" customFormat="1" ht="32.4" customHeight="1" x14ac:dyDescent="0.55000000000000004">
      <c r="A53" s="29" t="s">
        <v>98</v>
      </c>
      <c r="B53" s="29" t="s">
        <v>104</v>
      </c>
      <c r="C53" s="28">
        <v>7</v>
      </c>
      <c r="G53" s="30" t="s">
        <v>103</v>
      </c>
    </row>
    <row r="54" spans="1:7" s="28" customFormat="1" ht="32.4" customHeight="1" x14ac:dyDescent="0.55000000000000004">
      <c r="A54" s="29" t="s">
        <v>98</v>
      </c>
      <c r="B54" s="29" t="s">
        <v>105</v>
      </c>
      <c r="C54" s="28">
        <v>8</v>
      </c>
      <c r="G54" s="30" t="s">
        <v>103</v>
      </c>
    </row>
  </sheetData>
  <pageMargins left="0.7" right="0.7" top="0.75" bottom="0.75" header="0.3" footer="0.3"/>
  <pageSetup orientation="portrait" r:id="rId1"/>
  <headerFooter>
    <oddHeader>&amp;LENGINEERING SCORING MATRIX
(Rows = mission‑critical components; Columns = scoring fields)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24CE-B957-4A50-956D-14249619403E}">
  <sheetPr codeName="Sheet3"/>
  <dimension ref="A1:G23"/>
  <sheetViews>
    <sheetView tabSelected="1" workbookViewId="0">
      <selection activeCell="B2" sqref="B2"/>
    </sheetView>
  </sheetViews>
  <sheetFormatPr defaultRowHeight="14.4" x14ac:dyDescent="0.55000000000000004"/>
  <cols>
    <col min="1" max="1" width="17.3671875" customWidth="1"/>
    <col min="2" max="2" width="18.83984375" customWidth="1"/>
    <col min="5" max="5" width="9.5234375" customWidth="1"/>
    <col min="7" max="7" width="21.89453125" customWidth="1"/>
  </cols>
  <sheetData>
    <row r="1" spans="1:7" ht="28.8" x14ac:dyDescent="0.55000000000000004">
      <c r="A1" s="13" t="s">
        <v>107</v>
      </c>
      <c r="B1" s="13" t="s">
        <v>108</v>
      </c>
      <c r="C1" s="13" t="s">
        <v>21</v>
      </c>
      <c r="D1" s="13" t="s">
        <v>109</v>
      </c>
      <c r="E1" s="13" t="s">
        <v>23</v>
      </c>
      <c r="F1" s="13" t="s">
        <v>24</v>
      </c>
      <c r="G1" s="13" t="s">
        <v>25</v>
      </c>
    </row>
    <row r="2" spans="1:7" ht="33.299999999999997" customHeight="1" x14ac:dyDescent="0.55000000000000004">
      <c r="A2" s="13" t="s">
        <v>110</v>
      </c>
      <c r="B2" s="14" t="s">
        <v>111</v>
      </c>
      <c r="C2" s="14">
        <v>9</v>
      </c>
      <c r="D2" s="14"/>
      <c r="E2" s="14"/>
      <c r="F2" s="14"/>
      <c r="G2" s="14"/>
    </row>
    <row r="3" spans="1:7" ht="33.299999999999997" customHeight="1" x14ac:dyDescent="0.55000000000000004">
      <c r="A3" s="13" t="s">
        <v>110</v>
      </c>
      <c r="B3" s="14" t="s">
        <v>112</v>
      </c>
      <c r="C3" s="14">
        <v>9</v>
      </c>
      <c r="D3" s="14"/>
      <c r="E3" s="14"/>
      <c r="F3" s="14"/>
      <c r="G3" s="14"/>
    </row>
    <row r="4" spans="1:7" ht="33.299999999999997" customHeight="1" x14ac:dyDescent="0.55000000000000004">
      <c r="A4" s="13" t="s">
        <v>110</v>
      </c>
      <c r="B4" s="14" t="s">
        <v>113</v>
      </c>
      <c r="C4" s="14">
        <v>8</v>
      </c>
      <c r="D4" s="14"/>
      <c r="E4" s="14"/>
      <c r="F4" s="14"/>
      <c r="G4" s="14"/>
    </row>
    <row r="5" spans="1:7" ht="33.299999999999997" customHeight="1" x14ac:dyDescent="0.55000000000000004">
      <c r="A5" s="13" t="s">
        <v>114</v>
      </c>
      <c r="B5" s="14" t="s">
        <v>115</v>
      </c>
      <c r="C5" s="14">
        <v>10</v>
      </c>
      <c r="D5" s="14"/>
      <c r="E5" s="14"/>
      <c r="F5" s="14"/>
      <c r="G5" s="14"/>
    </row>
    <row r="6" spans="1:7" ht="33.299999999999997" customHeight="1" x14ac:dyDescent="0.55000000000000004">
      <c r="A6" s="13" t="s">
        <v>114</v>
      </c>
      <c r="B6" s="14" t="s">
        <v>116</v>
      </c>
      <c r="C6" s="14">
        <v>9</v>
      </c>
      <c r="D6" s="14"/>
      <c r="E6" s="14"/>
      <c r="F6" s="14"/>
      <c r="G6" s="14"/>
    </row>
    <row r="7" spans="1:7" ht="33.299999999999997" customHeight="1" x14ac:dyDescent="0.55000000000000004">
      <c r="A7" s="13" t="s">
        <v>114</v>
      </c>
      <c r="B7" s="14" t="s">
        <v>117</v>
      </c>
      <c r="C7" s="14">
        <v>8</v>
      </c>
      <c r="D7" s="14"/>
      <c r="E7" s="14"/>
      <c r="F7" s="14"/>
      <c r="G7" s="14"/>
    </row>
    <row r="8" spans="1:7" ht="33.299999999999997" customHeight="1" x14ac:dyDescent="0.55000000000000004">
      <c r="A8" s="13" t="s">
        <v>114</v>
      </c>
      <c r="B8" s="14" t="s">
        <v>118</v>
      </c>
      <c r="C8" s="14">
        <v>9</v>
      </c>
      <c r="D8" s="14"/>
      <c r="E8" s="14"/>
      <c r="F8" s="14"/>
      <c r="G8" s="14"/>
    </row>
    <row r="9" spans="1:7" ht="33.299999999999997" customHeight="1" x14ac:dyDescent="0.55000000000000004">
      <c r="A9" s="13" t="s">
        <v>114</v>
      </c>
      <c r="B9" s="14" t="s">
        <v>119</v>
      </c>
      <c r="C9" s="14">
        <v>8</v>
      </c>
      <c r="D9" s="14"/>
      <c r="E9" s="14"/>
      <c r="F9" s="14"/>
      <c r="G9" s="14"/>
    </row>
    <row r="10" spans="1:7" ht="33.299999999999997" customHeight="1" x14ac:dyDescent="0.55000000000000004">
      <c r="A10" s="13" t="s">
        <v>120</v>
      </c>
      <c r="B10" s="14" t="s">
        <v>121</v>
      </c>
      <c r="C10" s="14">
        <v>7</v>
      </c>
      <c r="D10" s="14"/>
      <c r="E10" s="14"/>
      <c r="F10" s="14"/>
      <c r="G10" s="14"/>
    </row>
    <row r="11" spans="1:7" ht="33.299999999999997" customHeight="1" x14ac:dyDescent="0.55000000000000004">
      <c r="A11" s="13" t="s">
        <v>120</v>
      </c>
      <c r="B11" s="14" t="s">
        <v>122</v>
      </c>
      <c r="C11" s="14">
        <v>7</v>
      </c>
      <c r="D11" s="14"/>
      <c r="E11" s="14"/>
      <c r="F11" s="14"/>
      <c r="G11" s="14"/>
    </row>
    <row r="12" spans="1:7" ht="33.299999999999997" customHeight="1" x14ac:dyDescent="0.55000000000000004">
      <c r="A12" s="13" t="s">
        <v>120</v>
      </c>
      <c r="B12" s="14" t="s">
        <v>123</v>
      </c>
      <c r="C12" s="14">
        <v>8</v>
      </c>
      <c r="D12" s="14"/>
      <c r="E12" s="14"/>
      <c r="F12" s="14"/>
      <c r="G12" s="14"/>
    </row>
    <row r="13" spans="1:7" ht="33.299999999999997" customHeight="1" x14ac:dyDescent="0.55000000000000004">
      <c r="A13" s="13" t="s">
        <v>120</v>
      </c>
      <c r="B13" s="14" t="s">
        <v>124</v>
      </c>
      <c r="C13" s="14">
        <v>7</v>
      </c>
      <c r="D13" s="14"/>
      <c r="E13" s="14"/>
      <c r="F13" s="14"/>
      <c r="G13" s="14"/>
    </row>
    <row r="14" spans="1:7" ht="33.299999999999997" customHeight="1" x14ac:dyDescent="0.55000000000000004">
      <c r="A14" s="13" t="s">
        <v>125</v>
      </c>
      <c r="B14" s="14" t="s">
        <v>126</v>
      </c>
      <c r="C14" s="14">
        <v>9</v>
      </c>
      <c r="D14" s="14"/>
      <c r="E14" s="14"/>
      <c r="F14" s="14"/>
      <c r="G14" s="14"/>
    </row>
    <row r="15" spans="1:7" ht="33.299999999999997" customHeight="1" x14ac:dyDescent="0.55000000000000004">
      <c r="A15" s="13" t="s">
        <v>125</v>
      </c>
      <c r="B15" s="14" t="s">
        <v>127</v>
      </c>
      <c r="C15" s="14">
        <v>8</v>
      </c>
      <c r="D15" s="14"/>
      <c r="E15" s="14"/>
      <c r="F15" s="14"/>
      <c r="G15" s="14"/>
    </row>
    <row r="16" spans="1:7" ht="33.299999999999997" customHeight="1" x14ac:dyDescent="0.55000000000000004">
      <c r="A16" s="13" t="s">
        <v>125</v>
      </c>
      <c r="B16" s="14" t="s">
        <v>128</v>
      </c>
      <c r="C16" s="14">
        <v>8</v>
      </c>
      <c r="D16" s="14"/>
      <c r="E16" s="14"/>
      <c r="F16" s="14"/>
      <c r="G16" s="14"/>
    </row>
    <row r="17" spans="1:7" ht="33.299999999999997" customHeight="1" x14ac:dyDescent="0.55000000000000004">
      <c r="A17" s="13" t="s">
        <v>125</v>
      </c>
      <c r="B17" s="14" t="s">
        <v>129</v>
      </c>
      <c r="C17" s="14">
        <v>8</v>
      </c>
      <c r="D17" s="14"/>
      <c r="E17" s="14"/>
      <c r="F17" s="14"/>
      <c r="G17" s="14"/>
    </row>
    <row r="18" spans="1:7" ht="33.299999999999997" customHeight="1" x14ac:dyDescent="0.55000000000000004">
      <c r="A18" s="13" t="s">
        <v>130</v>
      </c>
      <c r="B18" s="14" t="s">
        <v>131</v>
      </c>
      <c r="C18" s="14">
        <v>10</v>
      </c>
      <c r="D18" s="14"/>
      <c r="E18" s="14"/>
      <c r="F18" s="14"/>
      <c r="G18" s="14"/>
    </row>
    <row r="19" spans="1:7" ht="33.299999999999997" customHeight="1" x14ac:dyDescent="0.55000000000000004">
      <c r="A19" s="13" t="s">
        <v>130</v>
      </c>
      <c r="B19" s="14" t="s">
        <v>132</v>
      </c>
      <c r="C19" s="14">
        <v>10</v>
      </c>
      <c r="D19" s="14"/>
      <c r="E19" s="14"/>
      <c r="F19" s="14"/>
      <c r="G19" s="14"/>
    </row>
    <row r="20" spans="1:7" ht="33.299999999999997" customHeight="1" x14ac:dyDescent="0.55000000000000004">
      <c r="A20" s="13" t="s">
        <v>130</v>
      </c>
      <c r="B20" s="14" t="s">
        <v>133</v>
      </c>
      <c r="C20" s="14">
        <v>9</v>
      </c>
      <c r="D20" s="14"/>
      <c r="E20" s="14"/>
      <c r="F20" s="14"/>
      <c r="G20" s="14"/>
    </row>
    <row r="21" spans="1:7" ht="33.299999999999997" customHeight="1" x14ac:dyDescent="0.55000000000000004">
      <c r="A21" s="13" t="s">
        <v>130</v>
      </c>
      <c r="B21" s="14" t="s">
        <v>134</v>
      </c>
      <c r="C21" s="14">
        <v>9</v>
      </c>
      <c r="D21" s="14"/>
      <c r="E21" s="14"/>
      <c r="F21" s="14"/>
      <c r="G21" s="14"/>
    </row>
    <row r="22" spans="1:7" ht="33.299999999999997" customHeight="1" x14ac:dyDescent="0.55000000000000004">
      <c r="A22" s="13" t="s">
        <v>135</v>
      </c>
      <c r="B22" s="14" t="s">
        <v>136</v>
      </c>
      <c r="C22" s="14">
        <v>10</v>
      </c>
      <c r="D22" s="14"/>
      <c r="E22" s="14"/>
      <c r="F22" s="14"/>
      <c r="G22" s="14"/>
    </row>
    <row r="23" spans="1:7" ht="33.299999999999997" customHeight="1" x14ac:dyDescent="0.55000000000000004">
      <c r="A23" s="22"/>
      <c r="B23" s="22"/>
      <c r="C23" s="22"/>
      <c r="D23" s="22"/>
      <c r="E23" s="22"/>
      <c r="F23" s="22"/>
      <c r="G23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2D7A-7CF1-474C-9D5B-9E3310854D21}">
  <sheetPr codeName="Sheet4"/>
  <dimension ref="A1:F29"/>
  <sheetViews>
    <sheetView tabSelected="1" workbookViewId="0">
      <selection activeCell="B2" sqref="B2"/>
    </sheetView>
  </sheetViews>
  <sheetFormatPr defaultRowHeight="14.4" x14ac:dyDescent="0.55000000000000004"/>
  <cols>
    <col min="1" max="1" width="17.26171875" style="23" customWidth="1"/>
    <col min="2" max="2" width="15.3125" style="23" customWidth="1"/>
    <col min="3" max="3" width="13.3125" style="23" customWidth="1"/>
    <col min="4" max="4" width="13.47265625" style="23" customWidth="1"/>
    <col min="5" max="5" width="11.734375" style="23" customWidth="1"/>
    <col min="6" max="6" width="20.05078125" style="23" customWidth="1"/>
    <col min="7" max="16384" width="8.83984375" style="23"/>
  </cols>
  <sheetData>
    <row r="1" spans="1:6" ht="28.8" x14ac:dyDescent="0.55000000000000004">
      <c r="A1" s="13" t="s">
        <v>194</v>
      </c>
      <c r="B1" s="13" t="s">
        <v>157</v>
      </c>
      <c r="C1" s="13" t="s">
        <v>195</v>
      </c>
      <c r="D1" s="13" t="s">
        <v>196</v>
      </c>
      <c r="E1" s="13" t="s">
        <v>197</v>
      </c>
      <c r="F1" s="13" t="s">
        <v>25</v>
      </c>
    </row>
    <row r="2" spans="1:6" x14ac:dyDescent="0.55000000000000004">
      <c r="A2" s="13" t="s">
        <v>61</v>
      </c>
      <c r="B2" s="14" t="s">
        <v>139</v>
      </c>
      <c r="C2" s="14"/>
      <c r="D2" s="14"/>
      <c r="E2" s="14"/>
      <c r="F2" s="14"/>
    </row>
    <row r="3" spans="1:6" x14ac:dyDescent="0.55000000000000004">
      <c r="A3" s="13" t="s">
        <v>140</v>
      </c>
      <c r="B3" s="14" t="s">
        <v>139</v>
      </c>
      <c r="C3" s="14"/>
      <c r="D3" s="14"/>
      <c r="E3" s="14"/>
      <c r="F3" s="14"/>
    </row>
    <row r="4" spans="1:6" x14ac:dyDescent="0.55000000000000004">
      <c r="A4" s="13" t="s">
        <v>141</v>
      </c>
      <c r="B4" s="14" t="s">
        <v>139</v>
      </c>
      <c r="C4" s="14"/>
      <c r="D4" s="14"/>
      <c r="E4" s="14"/>
      <c r="F4" s="14"/>
    </row>
    <row r="5" spans="1:6" x14ac:dyDescent="0.55000000000000004">
      <c r="A5" s="13" t="s">
        <v>142</v>
      </c>
      <c r="B5" s="14" t="s">
        <v>139</v>
      </c>
      <c r="C5" s="14"/>
      <c r="D5" s="14"/>
      <c r="E5" s="14"/>
      <c r="F5" s="14"/>
    </row>
    <row r="6" spans="1:6" x14ac:dyDescent="0.55000000000000004">
      <c r="A6" s="13" t="s">
        <v>143</v>
      </c>
      <c r="B6" s="14" t="s">
        <v>139</v>
      </c>
      <c r="C6" s="14"/>
      <c r="D6" s="14"/>
      <c r="E6" s="14"/>
      <c r="F6" s="14"/>
    </row>
    <row r="7" spans="1:6" x14ac:dyDescent="0.55000000000000004">
      <c r="A7" s="13" t="s">
        <v>36</v>
      </c>
      <c r="B7" s="14" t="s">
        <v>139</v>
      </c>
      <c r="C7" s="14"/>
      <c r="D7" s="14"/>
      <c r="E7" s="14"/>
      <c r="F7" s="14"/>
    </row>
    <row r="8" spans="1:6" x14ac:dyDescent="0.55000000000000004">
      <c r="A8" s="13" t="s">
        <v>198</v>
      </c>
      <c r="B8" s="14" t="s">
        <v>199</v>
      </c>
      <c r="C8" s="14"/>
      <c r="D8" s="14"/>
      <c r="E8" s="14"/>
      <c r="F8" s="14"/>
    </row>
    <row r="9" spans="1:6" x14ac:dyDescent="0.55000000000000004">
      <c r="A9" s="13" t="s">
        <v>145</v>
      </c>
      <c r="B9" s="14" t="s">
        <v>139</v>
      </c>
      <c r="C9" s="14"/>
      <c r="D9" s="14"/>
      <c r="E9" s="14"/>
      <c r="F9" s="14"/>
    </row>
    <row r="10" spans="1:6" x14ac:dyDescent="0.55000000000000004">
      <c r="A10" s="13" t="s">
        <v>146</v>
      </c>
      <c r="B10" s="14" t="s">
        <v>139</v>
      </c>
      <c r="C10" s="14"/>
      <c r="D10" s="14"/>
      <c r="E10" s="14"/>
      <c r="F10" s="14"/>
    </row>
    <row r="11" spans="1:6" x14ac:dyDescent="0.55000000000000004">
      <c r="A11" s="13" t="s">
        <v>200</v>
      </c>
      <c r="B11" s="14" t="s">
        <v>7</v>
      </c>
      <c r="C11" s="14"/>
      <c r="D11" s="14"/>
      <c r="E11" s="14"/>
      <c r="F11" s="14"/>
    </row>
    <row r="12" spans="1:6" x14ac:dyDescent="0.55000000000000004">
      <c r="A12" s="13" t="s">
        <v>201</v>
      </c>
      <c r="B12" s="14" t="s">
        <v>7</v>
      </c>
      <c r="C12" s="14"/>
      <c r="D12" s="14"/>
      <c r="E12" s="14"/>
      <c r="F12" s="14"/>
    </row>
    <row r="13" spans="1:6" x14ac:dyDescent="0.55000000000000004">
      <c r="A13" s="13" t="s">
        <v>34</v>
      </c>
      <c r="B13" s="14" t="s">
        <v>7</v>
      </c>
      <c r="C13" s="14"/>
      <c r="D13" s="14"/>
      <c r="E13" s="14"/>
      <c r="F13" s="14"/>
    </row>
    <row r="14" spans="1:6" x14ac:dyDescent="0.55000000000000004">
      <c r="A14" s="13" t="s">
        <v>32</v>
      </c>
      <c r="B14" s="14" t="s">
        <v>7</v>
      </c>
      <c r="C14" s="14"/>
      <c r="D14" s="14"/>
      <c r="E14" s="14"/>
      <c r="F14" s="14"/>
    </row>
    <row r="15" spans="1:6" x14ac:dyDescent="0.55000000000000004">
      <c r="A15" s="13" t="s">
        <v>47</v>
      </c>
      <c r="B15" s="14" t="s">
        <v>7</v>
      </c>
      <c r="C15" s="14"/>
      <c r="D15" s="14"/>
      <c r="E15" s="14"/>
      <c r="F15" s="14"/>
    </row>
    <row r="16" spans="1:6" x14ac:dyDescent="0.55000000000000004">
      <c r="A16" s="13" t="s">
        <v>92</v>
      </c>
      <c r="B16" s="14" t="s">
        <v>7</v>
      </c>
      <c r="C16" s="14"/>
      <c r="D16" s="14"/>
      <c r="E16" s="14"/>
      <c r="F16" s="14"/>
    </row>
    <row r="17" spans="1:6" x14ac:dyDescent="0.55000000000000004">
      <c r="A17" s="13" t="s">
        <v>94</v>
      </c>
      <c r="B17" s="14" t="s">
        <v>7</v>
      </c>
      <c r="C17" s="14"/>
      <c r="D17" s="14"/>
      <c r="E17" s="14"/>
      <c r="F17" s="14"/>
    </row>
    <row r="18" spans="1:6" x14ac:dyDescent="0.55000000000000004">
      <c r="A18" s="13" t="s">
        <v>151</v>
      </c>
      <c r="B18" s="14" t="s">
        <v>152</v>
      </c>
      <c r="C18" s="14"/>
      <c r="D18" s="14"/>
      <c r="E18" s="14"/>
      <c r="F18" s="14"/>
    </row>
    <row r="19" spans="1:6" x14ac:dyDescent="0.55000000000000004">
      <c r="A19" s="13" t="s">
        <v>153</v>
      </c>
      <c r="B19" s="14" t="s">
        <v>152</v>
      </c>
      <c r="C19" s="14"/>
      <c r="D19" s="14"/>
      <c r="E19" s="14"/>
      <c r="F19" s="14"/>
    </row>
    <row r="20" spans="1:6" x14ac:dyDescent="0.55000000000000004">
      <c r="A20" s="13" t="s">
        <v>154</v>
      </c>
      <c r="B20" s="14" t="s">
        <v>152</v>
      </c>
      <c r="C20" s="14"/>
      <c r="D20" s="14"/>
      <c r="E20" s="14"/>
      <c r="F20" s="14"/>
    </row>
    <row r="21" spans="1:6" x14ac:dyDescent="0.55000000000000004">
      <c r="A21" s="13" t="s">
        <v>155</v>
      </c>
      <c r="B21" s="14" t="s">
        <v>152</v>
      </c>
      <c r="C21" s="14"/>
      <c r="D21" s="14"/>
      <c r="E21" s="14"/>
      <c r="F21" s="14"/>
    </row>
    <row r="22" spans="1:6" x14ac:dyDescent="0.55000000000000004">
      <c r="A22" s="13" t="s">
        <v>156</v>
      </c>
      <c r="B22" s="14" t="s">
        <v>152</v>
      </c>
      <c r="C22" s="14"/>
      <c r="D22" s="14"/>
      <c r="E22" s="14"/>
      <c r="F22" s="14"/>
    </row>
    <row r="23" spans="1:6" x14ac:dyDescent="0.55000000000000004">
      <c r="A23" s="26"/>
      <c r="B23" s="26"/>
      <c r="C23" s="26"/>
      <c r="D23" s="26"/>
      <c r="E23" s="26"/>
      <c r="F23" s="26"/>
    </row>
    <row r="24" spans="1:6" x14ac:dyDescent="0.55000000000000004">
      <c r="A24" s="26"/>
      <c r="B24" s="26"/>
      <c r="C24" s="26"/>
      <c r="D24" s="26"/>
      <c r="E24" s="26"/>
      <c r="F24" s="26"/>
    </row>
    <row r="25" spans="1:6" x14ac:dyDescent="0.55000000000000004">
      <c r="A25" s="26"/>
      <c r="B25" s="26"/>
      <c r="C25" s="26"/>
      <c r="D25" s="26"/>
      <c r="E25" s="26"/>
      <c r="F25" s="26"/>
    </row>
    <row r="26" spans="1:6" x14ac:dyDescent="0.55000000000000004">
      <c r="A26" s="26"/>
      <c r="B26" s="26"/>
      <c r="C26" s="26"/>
      <c r="D26" s="26"/>
      <c r="E26" s="26"/>
      <c r="F26" s="26"/>
    </row>
    <row r="27" spans="1:6" x14ac:dyDescent="0.55000000000000004">
      <c r="A27" s="26"/>
      <c r="B27" s="26"/>
      <c r="C27" s="26"/>
      <c r="D27" s="26"/>
      <c r="E27" s="26"/>
      <c r="F27" s="26"/>
    </row>
    <row r="28" spans="1:6" x14ac:dyDescent="0.55000000000000004">
      <c r="A28" s="26"/>
      <c r="B28" s="26"/>
      <c r="C28" s="26"/>
      <c r="D28" s="26"/>
      <c r="E28" s="26"/>
      <c r="F28" s="26"/>
    </row>
    <row r="29" spans="1:6" x14ac:dyDescent="0.55000000000000004">
      <c r="A29" s="26"/>
      <c r="B29" s="26"/>
      <c r="C29" s="26"/>
      <c r="D29" s="26"/>
      <c r="E29" s="26"/>
      <c r="F29" s="2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9B5D-7DE4-48A0-A65B-718B276BF4F5}">
  <sheetPr codeName="Sheet5"/>
  <dimension ref="A1:G16"/>
  <sheetViews>
    <sheetView tabSelected="1" workbookViewId="0">
      <selection activeCell="B2" sqref="B2"/>
    </sheetView>
  </sheetViews>
  <sheetFormatPr defaultRowHeight="14.4" x14ac:dyDescent="0.55000000000000004"/>
  <cols>
    <col min="1" max="1" width="15.47265625" style="23" customWidth="1"/>
    <col min="2" max="2" width="22.83984375" style="23" customWidth="1"/>
    <col min="3" max="3" width="8.83984375" style="23"/>
    <col min="4" max="4" width="15.9453125" style="12" customWidth="1"/>
    <col min="5" max="6" width="8.83984375" style="23"/>
    <col min="7" max="7" width="19.3671875" style="23" customWidth="1"/>
  </cols>
  <sheetData>
    <row r="1" spans="1:7" ht="28.8" x14ac:dyDescent="0.55000000000000004">
      <c r="A1" s="24" t="s">
        <v>138</v>
      </c>
      <c r="B1" s="13" t="s">
        <v>20</v>
      </c>
      <c r="C1" s="24" t="s">
        <v>8</v>
      </c>
      <c r="D1" s="13" t="s">
        <v>180</v>
      </c>
      <c r="E1" s="13" t="s">
        <v>181</v>
      </c>
      <c r="F1" s="24" t="s">
        <v>24</v>
      </c>
      <c r="G1" s="24" t="s">
        <v>25</v>
      </c>
    </row>
    <row r="2" spans="1:7" ht="28.8" x14ac:dyDescent="0.55000000000000004">
      <c r="A2" s="24" t="s">
        <v>182</v>
      </c>
      <c r="B2" s="25" t="s">
        <v>159</v>
      </c>
      <c r="C2" s="25">
        <v>9</v>
      </c>
      <c r="D2" s="14" t="s">
        <v>183</v>
      </c>
      <c r="E2" s="25"/>
      <c r="F2" s="25"/>
      <c r="G2" s="25"/>
    </row>
    <row r="3" spans="1:7" x14ac:dyDescent="0.55000000000000004">
      <c r="A3" s="24" t="s">
        <v>182</v>
      </c>
      <c r="B3" s="25" t="s">
        <v>45</v>
      </c>
      <c r="C3" s="25">
        <v>8</v>
      </c>
      <c r="D3" s="14" t="s">
        <v>184</v>
      </c>
      <c r="E3" s="25"/>
      <c r="F3" s="25"/>
      <c r="G3" s="25"/>
    </row>
    <row r="4" spans="1:7" ht="43.2" x14ac:dyDescent="0.55000000000000004">
      <c r="A4" s="24" t="s">
        <v>182</v>
      </c>
      <c r="B4" s="25" t="s">
        <v>160</v>
      </c>
      <c r="C4" s="25">
        <v>7</v>
      </c>
      <c r="D4" s="14" t="s">
        <v>185</v>
      </c>
      <c r="E4" s="25"/>
      <c r="F4" s="25"/>
      <c r="G4" s="25"/>
    </row>
    <row r="5" spans="1:7" x14ac:dyDescent="0.55000000000000004">
      <c r="A5" s="24" t="s">
        <v>186</v>
      </c>
      <c r="B5" s="25" t="s">
        <v>161</v>
      </c>
      <c r="C5" s="25">
        <v>9</v>
      </c>
      <c r="D5" s="14" t="s">
        <v>187</v>
      </c>
      <c r="E5" s="25"/>
      <c r="F5" s="25"/>
      <c r="G5" s="25"/>
    </row>
    <row r="6" spans="1:7" ht="28.8" x14ac:dyDescent="0.55000000000000004">
      <c r="A6" s="24" t="s">
        <v>186</v>
      </c>
      <c r="B6" s="25" t="s">
        <v>162</v>
      </c>
      <c r="C6" s="25">
        <v>8</v>
      </c>
      <c r="D6" s="14" t="s">
        <v>188</v>
      </c>
      <c r="E6" s="25"/>
      <c r="F6" s="25"/>
      <c r="G6" s="25"/>
    </row>
    <row r="7" spans="1:7" x14ac:dyDescent="0.55000000000000004">
      <c r="A7" s="24" t="s">
        <v>9</v>
      </c>
      <c r="B7" s="25" t="s">
        <v>163</v>
      </c>
      <c r="C7" s="25">
        <v>9</v>
      </c>
      <c r="D7" s="14" t="s">
        <v>189</v>
      </c>
      <c r="E7" s="25"/>
      <c r="F7" s="25"/>
      <c r="G7" s="25"/>
    </row>
    <row r="8" spans="1:7" x14ac:dyDescent="0.55000000000000004">
      <c r="A8" s="24" t="s">
        <v>9</v>
      </c>
      <c r="B8" s="25" t="s">
        <v>93</v>
      </c>
      <c r="C8" s="25">
        <v>8</v>
      </c>
      <c r="D8" s="14" t="s">
        <v>190</v>
      </c>
      <c r="E8" s="25"/>
      <c r="F8" s="25"/>
      <c r="G8" s="25"/>
    </row>
    <row r="9" spans="1:7" ht="28.8" x14ac:dyDescent="0.55000000000000004">
      <c r="A9" s="24" t="s">
        <v>83</v>
      </c>
      <c r="B9" s="25" t="s">
        <v>84</v>
      </c>
      <c r="C9" s="25">
        <v>9</v>
      </c>
      <c r="D9" s="14" t="s">
        <v>85</v>
      </c>
      <c r="E9" s="25"/>
      <c r="F9" s="25"/>
      <c r="G9" s="25"/>
    </row>
    <row r="10" spans="1:7" x14ac:dyDescent="0.55000000000000004">
      <c r="A10" s="24" t="s">
        <v>83</v>
      </c>
      <c r="B10" s="25" t="s">
        <v>86</v>
      </c>
      <c r="C10" s="25">
        <v>8</v>
      </c>
      <c r="D10" s="14" t="s">
        <v>191</v>
      </c>
      <c r="E10" s="25"/>
      <c r="F10" s="25"/>
      <c r="G10" s="25"/>
    </row>
    <row r="11" spans="1:7" x14ac:dyDescent="0.55000000000000004">
      <c r="A11" s="24" t="s">
        <v>10</v>
      </c>
      <c r="B11" s="25" t="s">
        <v>74</v>
      </c>
      <c r="C11" s="25">
        <v>9</v>
      </c>
      <c r="D11" s="14" t="s">
        <v>192</v>
      </c>
      <c r="E11" s="25"/>
      <c r="F11" s="25"/>
      <c r="G11" s="25"/>
    </row>
    <row r="12" spans="1:7" x14ac:dyDescent="0.55000000000000004">
      <c r="A12" s="24" t="s">
        <v>10</v>
      </c>
      <c r="B12" s="25" t="s">
        <v>164</v>
      </c>
      <c r="C12" s="25">
        <v>8</v>
      </c>
      <c r="D12" s="14" t="s">
        <v>193</v>
      </c>
      <c r="E12" s="25"/>
      <c r="F12" s="25"/>
      <c r="G12" s="25"/>
    </row>
    <row r="13" spans="1:7" x14ac:dyDescent="0.55000000000000004">
      <c r="A13" s="26"/>
      <c r="B13" s="26"/>
      <c r="C13" s="26"/>
      <c r="D13" s="15"/>
      <c r="E13" s="26"/>
      <c r="F13" s="26"/>
      <c r="G13" s="26"/>
    </row>
    <row r="14" spans="1:7" x14ac:dyDescent="0.55000000000000004">
      <c r="A14" s="26"/>
      <c r="B14" s="26"/>
      <c r="C14" s="26"/>
      <c r="D14" s="15"/>
      <c r="E14" s="26"/>
      <c r="F14" s="26"/>
      <c r="G14" s="26"/>
    </row>
    <row r="15" spans="1:7" x14ac:dyDescent="0.55000000000000004">
      <c r="A15" s="26"/>
      <c r="B15" s="26"/>
      <c r="C15" s="26"/>
      <c r="D15" s="15"/>
      <c r="E15" s="26"/>
      <c r="F15" s="26"/>
      <c r="G15" s="26"/>
    </row>
    <row r="16" spans="1:7" x14ac:dyDescent="0.55000000000000004">
      <c r="A16" s="26"/>
      <c r="B16" s="26"/>
      <c r="C16" s="26"/>
      <c r="D16" s="15"/>
      <c r="E16" s="26"/>
      <c r="F16" s="26"/>
      <c r="G16" s="2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B4AD-5DB0-48BA-92FF-6001445BD243}">
  <sheetPr codeName="Sheet6"/>
  <dimension ref="A1:F13"/>
  <sheetViews>
    <sheetView tabSelected="1" topLeftCell="A9" workbookViewId="0">
      <selection activeCell="B2" sqref="B2"/>
    </sheetView>
  </sheetViews>
  <sheetFormatPr defaultRowHeight="14.4" x14ac:dyDescent="0.55000000000000004"/>
  <cols>
    <col min="1" max="1" width="14.26171875" customWidth="1"/>
    <col min="2" max="2" width="18.3671875" customWidth="1"/>
    <col min="6" max="6" width="16.47265625" customWidth="1"/>
  </cols>
  <sheetData>
    <row r="1" spans="1:6" ht="28.8" x14ac:dyDescent="0.55000000000000004">
      <c r="A1" s="20" t="s">
        <v>169</v>
      </c>
      <c r="B1" s="20" t="s">
        <v>170</v>
      </c>
      <c r="C1" s="20" t="s">
        <v>157</v>
      </c>
      <c r="D1" s="20" t="s">
        <v>165</v>
      </c>
      <c r="E1" s="20" t="s">
        <v>24</v>
      </c>
      <c r="F1" s="20" t="s">
        <v>25</v>
      </c>
    </row>
    <row r="2" spans="1:6" ht="57.6" x14ac:dyDescent="0.55000000000000004">
      <c r="A2" s="20" t="s">
        <v>171</v>
      </c>
      <c r="B2" s="21" t="s">
        <v>172</v>
      </c>
      <c r="C2" s="21" t="s">
        <v>139</v>
      </c>
      <c r="D2" s="21"/>
      <c r="E2" s="21"/>
      <c r="F2" s="21"/>
    </row>
    <row r="3" spans="1:6" ht="57.6" x14ac:dyDescent="0.55000000000000004">
      <c r="A3" s="20" t="s">
        <v>171</v>
      </c>
      <c r="B3" s="21" t="s">
        <v>173</v>
      </c>
      <c r="C3" s="21" t="s">
        <v>139</v>
      </c>
      <c r="D3" s="21"/>
      <c r="E3" s="21"/>
      <c r="F3" s="21"/>
    </row>
    <row r="4" spans="1:6" ht="57.6" x14ac:dyDescent="0.55000000000000004">
      <c r="A4" s="20" t="s">
        <v>171</v>
      </c>
      <c r="B4" s="21" t="s">
        <v>174</v>
      </c>
      <c r="C4" s="21" t="s">
        <v>139</v>
      </c>
      <c r="D4" s="21"/>
      <c r="E4" s="21"/>
      <c r="F4" s="21"/>
    </row>
    <row r="5" spans="1:6" ht="28.8" x14ac:dyDescent="0.55000000000000004">
      <c r="A5" s="20" t="s">
        <v>175</v>
      </c>
      <c r="B5" s="21" t="s">
        <v>110</v>
      </c>
      <c r="C5" s="21" t="s">
        <v>139</v>
      </c>
      <c r="D5" s="21"/>
      <c r="E5" s="21"/>
      <c r="F5" s="21"/>
    </row>
    <row r="6" spans="1:6" ht="28.8" x14ac:dyDescent="0.55000000000000004">
      <c r="A6" s="20" t="s">
        <v>175</v>
      </c>
      <c r="B6" s="21" t="s">
        <v>176</v>
      </c>
      <c r="C6" s="21" t="s">
        <v>139</v>
      </c>
      <c r="D6" s="21"/>
      <c r="E6" s="21"/>
      <c r="F6" s="21"/>
    </row>
    <row r="7" spans="1:6" ht="28.8" x14ac:dyDescent="0.55000000000000004">
      <c r="A7" s="20" t="s">
        <v>175</v>
      </c>
      <c r="B7" s="21" t="s">
        <v>134</v>
      </c>
      <c r="C7" s="21" t="s">
        <v>139</v>
      </c>
      <c r="D7" s="21"/>
      <c r="E7" s="21"/>
      <c r="F7" s="21"/>
    </row>
    <row r="8" spans="1:6" ht="28.8" x14ac:dyDescent="0.55000000000000004">
      <c r="A8" s="20" t="s">
        <v>177</v>
      </c>
      <c r="B8" s="21" t="s">
        <v>178</v>
      </c>
      <c r="C8" s="21" t="s">
        <v>139</v>
      </c>
      <c r="D8" s="21"/>
      <c r="E8" s="21"/>
      <c r="F8" s="21"/>
    </row>
    <row r="9" spans="1:6" ht="43.2" x14ac:dyDescent="0.55000000000000004">
      <c r="A9" s="20" t="s">
        <v>177</v>
      </c>
      <c r="B9" s="21" t="s">
        <v>179</v>
      </c>
      <c r="C9" s="21" t="s">
        <v>139</v>
      </c>
      <c r="D9" s="21"/>
      <c r="E9" s="21"/>
      <c r="F9" s="21"/>
    </row>
    <row r="10" spans="1:6" x14ac:dyDescent="0.55000000000000004">
      <c r="A10" s="22"/>
      <c r="B10" s="22"/>
      <c r="C10" s="22"/>
      <c r="D10" s="22"/>
      <c r="E10" s="22"/>
      <c r="F10" s="22"/>
    </row>
    <row r="11" spans="1:6" x14ac:dyDescent="0.55000000000000004">
      <c r="A11" s="22"/>
      <c r="B11" s="22"/>
      <c r="C11" s="22"/>
      <c r="D11" s="22"/>
      <c r="E11" s="22"/>
      <c r="F11" s="22"/>
    </row>
    <row r="12" spans="1:6" x14ac:dyDescent="0.55000000000000004">
      <c r="A12" s="22"/>
      <c r="B12" s="22"/>
      <c r="C12" s="22"/>
      <c r="D12" s="22"/>
      <c r="E12" s="22"/>
      <c r="F12" s="22"/>
    </row>
    <row r="13" spans="1:6" x14ac:dyDescent="0.55000000000000004">
      <c r="A13" s="22"/>
      <c r="B13" s="22"/>
      <c r="C13" s="22"/>
      <c r="D13" s="22"/>
      <c r="E13" s="22"/>
      <c r="F13" s="2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917C-39BC-4821-B2E7-EC28F2B7336F}">
  <sheetPr codeName="Sheet7"/>
  <dimension ref="A1:E15"/>
  <sheetViews>
    <sheetView tabSelected="1" workbookViewId="0">
      <selection activeCell="B2" sqref="B2"/>
    </sheetView>
  </sheetViews>
  <sheetFormatPr defaultRowHeight="14.4" x14ac:dyDescent="0.55000000000000004"/>
  <cols>
    <col min="1" max="1" width="19" customWidth="1"/>
    <col min="2" max="2" width="14" customWidth="1"/>
    <col min="4" max="4" width="14.3671875" customWidth="1"/>
    <col min="5" max="5" width="20.9453125" customWidth="1"/>
  </cols>
  <sheetData>
    <row r="1" spans="1:5" ht="28.8" x14ac:dyDescent="0.55000000000000004">
      <c r="A1" s="20" t="s">
        <v>108</v>
      </c>
      <c r="B1" s="20" t="s">
        <v>8</v>
      </c>
      <c r="C1" s="20" t="s">
        <v>165</v>
      </c>
      <c r="D1" s="20" t="s">
        <v>23</v>
      </c>
      <c r="E1" s="20" t="s">
        <v>25</v>
      </c>
    </row>
    <row r="2" spans="1:5" ht="28.8" x14ac:dyDescent="0.55000000000000004">
      <c r="A2" s="20" t="s">
        <v>166</v>
      </c>
      <c r="B2" s="21">
        <v>0.6</v>
      </c>
      <c r="C2" s="21"/>
      <c r="D2" s="21"/>
      <c r="E2" s="21"/>
    </row>
    <row r="3" spans="1:5" ht="28.8" x14ac:dyDescent="0.55000000000000004">
      <c r="A3" s="20" t="s">
        <v>167</v>
      </c>
      <c r="B3" s="21">
        <v>0.4</v>
      </c>
      <c r="C3" s="21"/>
      <c r="D3" s="21"/>
      <c r="E3" s="21"/>
    </row>
    <row r="4" spans="1:5" ht="28.8" x14ac:dyDescent="0.55000000000000004">
      <c r="A4" s="20" t="s">
        <v>168</v>
      </c>
      <c r="B4" s="21" t="e">
        <f>SUM(Weighted Scores)</f>
        <v>#NAME?</v>
      </c>
      <c r="C4" s="21"/>
      <c r="D4" s="21"/>
      <c r="E4" s="21"/>
    </row>
    <row r="5" spans="1:5" x14ac:dyDescent="0.55000000000000004">
      <c r="A5" s="22"/>
      <c r="B5" s="22"/>
      <c r="C5" s="22"/>
      <c r="D5" s="22"/>
      <c r="E5" s="22"/>
    </row>
    <row r="6" spans="1:5" x14ac:dyDescent="0.55000000000000004">
      <c r="A6" s="22"/>
      <c r="B6" s="22"/>
      <c r="C6" s="22"/>
      <c r="D6" s="22"/>
      <c r="E6" s="22"/>
    </row>
    <row r="7" spans="1:5" x14ac:dyDescent="0.55000000000000004">
      <c r="A7" s="22"/>
      <c r="B7" s="22"/>
      <c r="C7" s="22"/>
      <c r="D7" s="22"/>
      <c r="E7" s="22"/>
    </row>
    <row r="8" spans="1:5" x14ac:dyDescent="0.55000000000000004">
      <c r="A8" s="22"/>
      <c r="B8" s="22"/>
      <c r="C8" s="22"/>
      <c r="D8" s="22"/>
      <c r="E8" s="22"/>
    </row>
    <row r="9" spans="1:5" x14ac:dyDescent="0.55000000000000004">
      <c r="A9" s="22"/>
      <c r="B9" s="22"/>
      <c r="C9" s="22"/>
      <c r="D9" s="22"/>
      <c r="E9" s="22"/>
    </row>
    <row r="10" spans="1:5" x14ac:dyDescent="0.55000000000000004">
      <c r="A10" s="22"/>
      <c r="B10" s="22"/>
      <c r="C10" s="22"/>
      <c r="D10" s="22"/>
      <c r="E10" s="22"/>
    </row>
    <row r="11" spans="1:5" x14ac:dyDescent="0.55000000000000004">
      <c r="A11" s="22"/>
      <c r="B11" s="22"/>
      <c r="C11" s="22"/>
      <c r="D11" s="22"/>
      <c r="E11" s="22"/>
    </row>
    <row r="12" spans="1:5" x14ac:dyDescent="0.55000000000000004">
      <c r="A12" s="22"/>
      <c r="B12" s="22"/>
      <c r="C12" s="22"/>
      <c r="D12" s="22"/>
      <c r="E12" s="22"/>
    </row>
    <row r="13" spans="1:5" x14ac:dyDescent="0.55000000000000004">
      <c r="A13" s="22"/>
      <c r="B13" s="22"/>
      <c r="C13" s="22"/>
      <c r="D13" s="22"/>
      <c r="E13" s="22"/>
    </row>
    <row r="14" spans="1:5" x14ac:dyDescent="0.55000000000000004">
      <c r="A14" s="22"/>
      <c r="B14" s="22"/>
      <c r="C14" s="22"/>
      <c r="D14" s="22"/>
      <c r="E14" s="22"/>
    </row>
    <row r="15" spans="1:5" x14ac:dyDescent="0.55000000000000004">
      <c r="A15" s="22"/>
      <c r="B15" s="22"/>
      <c r="C15" s="22"/>
      <c r="D15" s="22"/>
      <c r="E15" s="2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65E2-6A59-493B-AA83-583B94331F13}">
  <sheetPr codeName="Sheet8"/>
  <dimension ref="A1:E16"/>
  <sheetViews>
    <sheetView tabSelected="1" workbookViewId="0">
      <selection activeCell="B2" sqref="B2"/>
    </sheetView>
  </sheetViews>
  <sheetFormatPr defaultRowHeight="14.4" x14ac:dyDescent="0.55000000000000004"/>
  <cols>
    <col min="1" max="1" width="15.05078125" customWidth="1"/>
    <col min="2" max="2" width="12.5234375" customWidth="1"/>
    <col min="5" max="5" width="26.89453125" customWidth="1"/>
  </cols>
  <sheetData>
    <row r="1" spans="1:5" ht="28.8" x14ac:dyDescent="0.55000000000000004">
      <c r="A1" s="20" t="s">
        <v>138</v>
      </c>
      <c r="B1" s="20" t="s">
        <v>158</v>
      </c>
      <c r="C1" s="20" t="s">
        <v>8</v>
      </c>
      <c r="D1" s="20" t="s">
        <v>157</v>
      </c>
      <c r="E1" s="20" t="s">
        <v>25</v>
      </c>
    </row>
    <row r="2" spans="1:5" ht="28.8" x14ac:dyDescent="0.55000000000000004">
      <c r="A2" s="20" t="s">
        <v>12</v>
      </c>
      <c r="B2" s="21" t="s">
        <v>159</v>
      </c>
      <c r="C2" s="21">
        <v>9</v>
      </c>
      <c r="D2" s="21" t="s">
        <v>139</v>
      </c>
      <c r="E2" s="21"/>
    </row>
    <row r="3" spans="1:5" ht="28.8" x14ac:dyDescent="0.55000000000000004">
      <c r="A3" s="20" t="s">
        <v>12</v>
      </c>
      <c r="B3" s="21" t="s">
        <v>45</v>
      </c>
      <c r="C3" s="21">
        <v>8</v>
      </c>
      <c r="D3" s="21" t="s">
        <v>139</v>
      </c>
      <c r="E3" s="21"/>
    </row>
    <row r="4" spans="1:5" ht="43.2" x14ac:dyDescent="0.55000000000000004">
      <c r="A4" s="20" t="s">
        <v>12</v>
      </c>
      <c r="B4" s="21" t="s">
        <v>160</v>
      </c>
      <c r="C4" s="21">
        <v>7</v>
      </c>
      <c r="D4" s="21" t="s">
        <v>139</v>
      </c>
      <c r="E4" s="21"/>
    </row>
    <row r="5" spans="1:5" ht="28.8" x14ac:dyDescent="0.55000000000000004">
      <c r="A5" s="20" t="s">
        <v>11</v>
      </c>
      <c r="B5" s="21" t="s">
        <v>161</v>
      </c>
      <c r="C5" s="21">
        <v>9</v>
      </c>
      <c r="D5" s="21" t="s">
        <v>139</v>
      </c>
      <c r="E5" s="21"/>
    </row>
    <row r="6" spans="1:5" ht="43.2" x14ac:dyDescent="0.55000000000000004">
      <c r="A6" s="20" t="s">
        <v>11</v>
      </c>
      <c r="B6" s="21" t="s">
        <v>162</v>
      </c>
      <c r="C6" s="21">
        <v>8</v>
      </c>
      <c r="D6" s="21" t="s">
        <v>139</v>
      </c>
      <c r="E6" s="21"/>
    </row>
    <row r="7" spans="1:5" ht="28.8" x14ac:dyDescent="0.55000000000000004">
      <c r="A7" s="20" t="s">
        <v>9</v>
      </c>
      <c r="B7" s="21" t="s">
        <v>163</v>
      </c>
      <c r="C7" s="21">
        <v>9</v>
      </c>
      <c r="D7" s="21" t="s">
        <v>139</v>
      </c>
      <c r="E7" s="21"/>
    </row>
    <row r="8" spans="1:5" x14ac:dyDescent="0.55000000000000004">
      <c r="A8" s="20" t="s">
        <v>9</v>
      </c>
      <c r="B8" s="21" t="s">
        <v>93</v>
      </c>
      <c r="C8" s="21">
        <v>8</v>
      </c>
      <c r="D8" s="21" t="s">
        <v>139</v>
      </c>
      <c r="E8" s="21"/>
    </row>
    <row r="9" spans="1:5" ht="28.8" x14ac:dyDescent="0.55000000000000004">
      <c r="A9" s="20" t="s">
        <v>83</v>
      </c>
      <c r="B9" s="21" t="s">
        <v>84</v>
      </c>
      <c r="C9" s="21">
        <v>9</v>
      </c>
      <c r="D9" s="21" t="s">
        <v>139</v>
      </c>
      <c r="E9" s="21"/>
    </row>
    <row r="10" spans="1:5" ht="28.8" x14ac:dyDescent="0.55000000000000004">
      <c r="A10" s="20" t="s">
        <v>83</v>
      </c>
      <c r="B10" s="21" t="s">
        <v>86</v>
      </c>
      <c r="C10" s="21">
        <v>8</v>
      </c>
      <c r="D10" s="21" t="s">
        <v>139</v>
      </c>
      <c r="E10" s="21"/>
    </row>
    <row r="11" spans="1:5" ht="43.2" x14ac:dyDescent="0.55000000000000004">
      <c r="A11" s="20" t="s">
        <v>10</v>
      </c>
      <c r="B11" s="21" t="s">
        <v>74</v>
      </c>
      <c r="C11" s="21">
        <v>9</v>
      </c>
      <c r="D11" s="21" t="s">
        <v>139</v>
      </c>
      <c r="E11" s="21"/>
    </row>
    <row r="12" spans="1:5" ht="28.8" x14ac:dyDescent="0.55000000000000004">
      <c r="A12" s="20" t="s">
        <v>10</v>
      </c>
      <c r="B12" s="21" t="s">
        <v>164</v>
      </c>
      <c r="C12" s="21">
        <v>8</v>
      </c>
      <c r="D12" s="21" t="s">
        <v>139</v>
      </c>
      <c r="E12" s="21"/>
    </row>
    <row r="13" spans="1:5" x14ac:dyDescent="0.55000000000000004">
      <c r="A13" s="22"/>
      <c r="B13" s="22"/>
      <c r="C13" s="22"/>
      <c r="D13" s="22"/>
      <c r="E13" s="22"/>
    </row>
    <row r="14" spans="1:5" x14ac:dyDescent="0.55000000000000004">
      <c r="A14" s="22"/>
      <c r="B14" s="22"/>
      <c r="C14" s="22"/>
      <c r="D14" s="22"/>
      <c r="E14" s="22"/>
    </row>
    <row r="15" spans="1:5" x14ac:dyDescent="0.55000000000000004">
      <c r="A15" s="22"/>
      <c r="B15" s="22"/>
      <c r="C15" s="22"/>
      <c r="D15" s="22"/>
      <c r="E15" s="22"/>
    </row>
    <row r="16" spans="1:5" x14ac:dyDescent="0.55000000000000004">
      <c r="A16" s="22"/>
      <c r="B16" s="22"/>
      <c r="C16" s="22"/>
      <c r="D16" s="22"/>
      <c r="E16" s="2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61FB-CA72-427A-8E3F-0AFDAE55ACA8}">
  <sheetPr codeName="Sheet9"/>
  <dimension ref="A1:D25"/>
  <sheetViews>
    <sheetView tabSelected="1" topLeftCell="A5" workbookViewId="0">
      <selection activeCell="B2" sqref="B2"/>
    </sheetView>
  </sheetViews>
  <sheetFormatPr defaultRowHeight="18.3" x14ac:dyDescent="0.85"/>
  <cols>
    <col min="1" max="1" width="12.05078125" style="11" customWidth="1"/>
    <col min="2" max="2" width="15.20703125" style="11" customWidth="1"/>
    <col min="3" max="3" width="14.7890625" style="11" bestFit="1" customWidth="1"/>
    <col min="4" max="4" width="21.7890625" style="11" customWidth="1"/>
    <col min="5" max="16384" width="8.83984375" style="5"/>
  </cols>
  <sheetData>
    <row r="1" spans="1:4" ht="46.8" x14ac:dyDescent="0.85">
      <c r="A1" s="16" t="s">
        <v>137</v>
      </c>
      <c r="B1" s="16" t="s">
        <v>138</v>
      </c>
      <c r="C1" s="16" t="s">
        <v>157</v>
      </c>
      <c r="D1" s="16" t="s">
        <v>25</v>
      </c>
    </row>
    <row r="2" spans="1:4" x14ac:dyDescent="0.85">
      <c r="A2" s="17" t="s">
        <v>61</v>
      </c>
      <c r="B2" s="18" t="s">
        <v>55</v>
      </c>
      <c r="C2" s="18" t="s">
        <v>139</v>
      </c>
      <c r="D2" s="18"/>
    </row>
    <row r="3" spans="1:4" x14ac:dyDescent="0.85">
      <c r="A3" s="17" t="s">
        <v>140</v>
      </c>
      <c r="B3" s="18" t="s">
        <v>55</v>
      </c>
      <c r="C3" s="18" t="s">
        <v>139</v>
      </c>
      <c r="D3" s="18"/>
    </row>
    <row r="4" spans="1:4" x14ac:dyDescent="0.85">
      <c r="A4" s="17" t="s">
        <v>141</v>
      </c>
      <c r="B4" s="18" t="s">
        <v>55</v>
      </c>
      <c r="C4" s="18" t="s">
        <v>139</v>
      </c>
      <c r="D4" s="18"/>
    </row>
    <row r="5" spans="1:4" x14ac:dyDescent="0.85">
      <c r="A5" s="17" t="s">
        <v>142</v>
      </c>
      <c r="B5" s="18" t="s">
        <v>73</v>
      </c>
      <c r="C5" s="18" t="s">
        <v>139</v>
      </c>
      <c r="D5" s="18"/>
    </row>
    <row r="6" spans="1:4" ht="36.6" x14ac:dyDescent="0.85">
      <c r="A6" s="17" t="s">
        <v>143</v>
      </c>
      <c r="B6" s="18" t="s">
        <v>144</v>
      </c>
      <c r="C6" s="18" t="s">
        <v>139</v>
      </c>
      <c r="D6" s="18"/>
    </row>
    <row r="7" spans="1:4" x14ac:dyDescent="0.85">
      <c r="A7" s="17" t="s">
        <v>36</v>
      </c>
      <c r="B7" s="18" t="s">
        <v>37</v>
      </c>
      <c r="C7" s="18" t="s">
        <v>139</v>
      </c>
      <c r="D7" s="18"/>
    </row>
    <row r="8" spans="1:4" x14ac:dyDescent="0.85">
      <c r="A8" s="17" t="s">
        <v>145</v>
      </c>
      <c r="B8" s="18" t="s">
        <v>41</v>
      </c>
      <c r="C8" s="18" t="s">
        <v>139</v>
      </c>
      <c r="D8" s="18"/>
    </row>
    <row r="9" spans="1:4" ht="36.6" x14ac:dyDescent="0.85">
      <c r="A9" s="17" t="s">
        <v>146</v>
      </c>
      <c r="B9" s="18" t="s">
        <v>147</v>
      </c>
      <c r="C9" s="18" t="s">
        <v>139</v>
      </c>
      <c r="D9" s="18"/>
    </row>
    <row r="10" spans="1:4" ht="36.6" x14ac:dyDescent="0.85">
      <c r="A10" s="17" t="s">
        <v>34</v>
      </c>
      <c r="B10" s="18" t="s">
        <v>148</v>
      </c>
      <c r="C10" s="18" t="s">
        <v>7</v>
      </c>
      <c r="D10" s="18"/>
    </row>
    <row r="11" spans="1:4" ht="36.6" x14ac:dyDescent="0.85">
      <c r="A11" s="17" t="s">
        <v>32</v>
      </c>
      <c r="B11" s="18" t="s">
        <v>149</v>
      </c>
      <c r="C11" s="18" t="s">
        <v>7</v>
      </c>
      <c r="D11" s="18"/>
    </row>
    <row r="12" spans="1:4" ht="36.6" x14ac:dyDescent="0.85">
      <c r="A12" s="17" t="s">
        <v>47</v>
      </c>
      <c r="B12" s="18" t="s">
        <v>150</v>
      </c>
      <c r="C12" s="18" t="s">
        <v>7</v>
      </c>
      <c r="D12" s="18"/>
    </row>
    <row r="13" spans="1:4" ht="36.6" x14ac:dyDescent="0.85">
      <c r="A13" s="17" t="s">
        <v>92</v>
      </c>
      <c r="B13" s="18" t="s">
        <v>9</v>
      </c>
      <c r="C13" s="18" t="s">
        <v>7</v>
      </c>
      <c r="D13" s="18"/>
    </row>
    <row r="14" spans="1:4" ht="36.6" x14ac:dyDescent="0.85">
      <c r="A14" s="17" t="s">
        <v>94</v>
      </c>
      <c r="B14" s="18" t="s">
        <v>9</v>
      </c>
      <c r="C14" s="18" t="s">
        <v>7</v>
      </c>
      <c r="D14" s="18"/>
    </row>
    <row r="15" spans="1:4" x14ac:dyDescent="0.85">
      <c r="A15" s="17" t="s">
        <v>151</v>
      </c>
      <c r="B15" s="18" t="s">
        <v>152</v>
      </c>
      <c r="C15" s="18" t="s">
        <v>139</v>
      </c>
      <c r="D15" s="18"/>
    </row>
    <row r="16" spans="1:4" x14ac:dyDescent="0.85">
      <c r="A16" s="17" t="s">
        <v>153</v>
      </c>
      <c r="B16" s="18" t="s">
        <v>152</v>
      </c>
      <c r="C16" s="18" t="s">
        <v>139</v>
      </c>
      <c r="D16" s="18"/>
    </row>
    <row r="17" spans="1:4" x14ac:dyDescent="0.85">
      <c r="A17" s="17" t="s">
        <v>154</v>
      </c>
      <c r="B17" s="18" t="s">
        <v>152</v>
      </c>
      <c r="C17" s="18" t="s">
        <v>139</v>
      </c>
      <c r="D17" s="18"/>
    </row>
    <row r="18" spans="1:4" x14ac:dyDescent="0.85">
      <c r="A18" s="17" t="s">
        <v>155</v>
      </c>
      <c r="B18" s="18" t="s">
        <v>152</v>
      </c>
      <c r="C18" s="18" t="s">
        <v>139</v>
      </c>
      <c r="D18" s="18"/>
    </row>
    <row r="19" spans="1:4" x14ac:dyDescent="0.85">
      <c r="A19" s="17" t="s">
        <v>156</v>
      </c>
      <c r="B19" s="18" t="s">
        <v>152</v>
      </c>
      <c r="C19" s="18" t="s">
        <v>139</v>
      </c>
      <c r="D19" s="18"/>
    </row>
    <row r="20" spans="1:4" x14ac:dyDescent="0.85">
      <c r="A20" s="19"/>
      <c r="B20" s="19"/>
      <c r="C20" s="19"/>
      <c r="D20" s="19"/>
    </row>
    <row r="21" spans="1:4" x14ac:dyDescent="0.85">
      <c r="A21" s="19"/>
      <c r="B21" s="19"/>
      <c r="C21" s="19"/>
      <c r="D21" s="19"/>
    </row>
    <row r="22" spans="1:4" x14ac:dyDescent="0.85">
      <c r="A22" s="19"/>
      <c r="B22" s="19"/>
      <c r="C22" s="19"/>
      <c r="D22" s="19"/>
    </row>
    <row r="23" spans="1:4" x14ac:dyDescent="0.85">
      <c r="A23" s="19"/>
      <c r="B23" s="19"/>
      <c r="C23" s="19"/>
      <c r="D23" s="19"/>
    </row>
    <row r="24" spans="1:4" x14ac:dyDescent="0.85">
      <c r="A24" s="19"/>
      <c r="B24" s="19"/>
      <c r="C24" s="19"/>
      <c r="D24" s="19"/>
    </row>
    <row r="25" spans="1:4" x14ac:dyDescent="0.85">
      <c r="A25" s="19"/>
      <c r="B25" s="19"/>
      <c r="C25" s="19"/>
      <c r="D25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</vt:lpstr>
      <vt:lpstr>Engineering Scoring </vt:lpstr>
      <vt:lpstr>Editorial Scoring</vt:lpstr>
      <vt:lpstr>Compliance Checklist</vt:lpstr>
      <vt:lpstr>Cat. Benchmark Set</vt:lpstr>
      <vt:lpstr>Page-Lvl Eval Sheet</vt:lpstr>
      <vt:lpstr>Weighted Scoring Model</vt:lpstr>
      <vt:lpstr>Mission-Critical Component Mat.</vt:lpstr>
      <vt:lpstr>Standards &amp; 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Reid</dc:creator>
  <cp:lastModifiedBy>Daniel Reid</cp:lastModifiedBy>
  <cp:lastPrinted>2026-08-03T15:51:08Z</cp:lastPrinted>
  <dcterms:created xsi:type="dcterms:W3CDTF">2026-08-02T13:41:39Z</dcterms:created>
  <dcterms:modified xsi:type="dcterms:W3CDTF">2026-08-03T16:01:26Z</dcterms:modified>
</cp:coreProperties>
</file>