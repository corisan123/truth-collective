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Instructions" sheetId="1" state="visible" r:id="rId1"/>
    <sheet name="01_Master_Config" sheetId="2" state="visible" r:id="rId2"/>
    <sheet name="02_Intake" sheetId="3" state="visible" r:id="rId3"/>
    <sheet name="03_Engineering_Score" sheetId="4" state="visible" r:id="rId4"/>
    <sheet name="04_Editorial_Score" sheetId="5" state="visible" r:id="rId5"/>
    <sheet name="05_Compliance" sheetId="6" state="visible" r:id="rId6"/>
    <sheet name="06_Category_Benchmarks" sheetId="7" state="visible" r:id="rId7"/>
    <sheet name="07_Resul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Calibri"/>
      <b val="1"/>
      <color rgb="001E3A5F"/>
      <sz val="14"/>
    </font>
    <font>
      <name val="Calibri"/>
      <b val="1"/>
      <color rgb="001E3A5F"/>
      <sz val="11"/>
    </font>
    <font>
      <name val="Calibri"/>
      <b val="1"/>
      <color rgb="00FFFFFF"/>
      <sz val="11"/>
    </font>
    <font>
      <name val="Calibri"/>
      <b val="1"/>
      <color rgb="00B8944B"/>
      <sz val="11"/>
    </font>
    <font>
      <name val="Calibri"/>
      <b val="1"/>
      <color rgb="00B8944B"/>
      <sz val="28"/>
    </font>
  </fonts>
  <fills count="6">
    <fill>
      <patternFill/>
    </fill>
    <fill>
      <patternFill patternType="gray125"/>
    </fill>
    <fill>
      <patternFill patternType="solid">
        <fgColor rgb="001E3A5F"/>
      </patternFill>
    </fill>
    <fill>
      <patternFill patternType="solid">
        <fgColor rgb="00FFF8E7"/>
      </patternFill>
    </fill>
    <fill>
      <patternFill patternType="solid">
        <fgColor rgb="00E8EEF5"/>
      </patternFill>
    </fill>
    <fill>
      <patternFill patternType="solid">
        <fgColor rgb="00F8F4EC"/>
      </patternFill>
    </fill>
  </fills>
  <borders count="2">
    <border>
      <left/>
      <right/>
      <top/>
      <bottom/>
      <diagonal/>
    </border>
    <border>
      <left style="thin">
        <color rgb="00C9D0D8"/>
      </left>
      <right style="thin">
        <color rgb="00C9D0D8"/>
      </right>
      <top style="thin">
        <color rgb="00C9D0D8"/>
      </top>
      <bottom style="thin">
        <color rgb="00C9D0D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9" fontId="0" fillId="0" borderId="0" pivotButton="0" quotePrefix="0" xfId="0"/>
    <xf numFmtId="0" fontId="4" fillId="0" borderId="0" pivotButton="0" quotePrefix="0" xfId="0"/>
    <xf numFmtId="0" fontId="0" fillId="3" borderId="1" pivotButton="0" quotePrefix="0" xfId="0"/>
    <xf numFmtId="10" fontId="0" fillId="0" borderId="0" pivotButton="0" quotePrefix="0" xfId="0"/>
    <xf numFmtId="0" fontId="0" fillId="0" borderId="1" pivotButton="0" quotePrefix="0" xfId="0"/>
    <xf numFmtId="164" fontId="0" fillId="0" borderId="0" pivotButton="0" quotePrefix="0" xfId="0"/>
    <xf numFmtId="0" fontId="0" fillId="3" borderId="0" pivotButton="0" quotePrefix="0" xfId="0"/>
    <xf numFmtId="0" fontId="0" fillId="4" borderId="0" pivotButton="0" quotePrefix="0" xfId="0"/>
    <xf numFmtId="165" fontId="0" fillId="0" borderId="0" pivotButton="0" quotePrefix="0" xfId="0"/>
    <xf numFmtId="0" fontId="5" fillId="4" borderId="0" pivotButton="0" quotePrefix="0" xfId="0"/>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70" customWidth="1" min="2" max="2"/>
  </cols>
  <sheetData>
    <row r="1">
      <c r="A1" s="1" t="inlineStr">
        <is>
          <t>TRUTH COLLECTIVE — Evaluation Engine v1 (from Master Summary + Official Governance PDF v2.1)</t>
        </is>
      </c>
    </row>
    <row r="3">
      <c r="A3" s="2" t="inlineStr">
        <is>
          <t>Purpose</t>
        </is>
      </c>
    </row>
    <row r="4">
      <c r="A4" s="3" t="inlineStr">
        <is>
          <t>Intelligence lives in Master_Config (weights, bands, TC Grade). You enter one product on Intake + score only relevant rows. Results calculates grade and a brief analysis. Brand voice and TC Grade stay. Amazon stars are NOT the grade.</t>
        </is>
      </c>
    </row>
    <row r="5"/>
    <row r="6"/>
    <row r="8">
      <c r="A8" s="2" t="inlineStr">
        <is>
          <t>How to score one product (5 steps)</t>
        </is>
      </c>
    </row>
    <row r="9">
      <c r="A9" s="3" t="inlineStr">
        <is>
          <t>1. Go to Intake. Enter Product Name, ASIN or URL, Category, Eval Type (Product or Book).</t>
        </is>
      </c>
    </row>
    <row r="10">
      <c r="A10" s="3" t="inlineStr">
        <is>
          <t>2. Set Applicable = Y only on metrics that matter for that category (Engineering_Score or Editorial_Score). Leave others N or blank score.</t>
        </is>
      </c>
    </row>
    <row r="11">
      <c r="A11" s="3" t="inlineStr">
        <is>
          <t>3. Enter Product Score 0–10 on Applicable = Y rows. Weights are already filled from your master sheet.</t>
        </is>
      </c>
    </row>
    <row r="12">
      <c r="A12" s="3" t="inlineStr">
        <is>
          <t>4. Fill Compliance rows that apply (Y/N compliant).</t>
        </is>
      </c>
    </row>
    <row r="13">
      <c r="A13" s="3" t="inlineStr">
        <is>
          <t>5. Open Results — Final TC Grade, quality band, and brief analysis update automatically.</t>
        </is>
      </c>
    </row>
    <row r="15">
      <c r="A15" s="2" t="inlineStr">
        <is>
          <t>What this replaces</t>
        </is>
      </c>
    </row>
    <row r="16">
      <c r="A16" s="3" t="inlineStr">
        <is>
          <t>Your old workbook listed every metric for every product with no formulas, mixed product+editorial into one 60/40 final grade, and had no Intake/Results engine. This file keeps your metrics, adds formulas, separates Product vs Book paths, and outputs TC Grade + brief blurb.</t>
        </is>
      </c>
    </row>
    <row r="17"/>
    <row r="18"/>
    <row r="20">
      <c r="A20" s="2" t="inlineStr">
        <is>
          <t>Honest limit</t>
        </is>
      </c>
    </row>
    <row r="21">
      <c r="A21" s="3" t="inlineStr">
        <is>
          <t>ASIN/URL alone cannot invent engineering evidence. Paste ID for tracking. You (or a later API helper) still enter measurable scores. The engine does the weighted math and recommendation text.</t>
        </is>
      </c>
    </row>
    <row r="22"/>
    <row r="24">
      <c r="A24" s="2" t="inlineStr">
        <is>
          <t>Tabs</t>
        </is>
      </c>
    </row>
    <row r="25">
      <c r="A25" s="4" t="inlineStr">
        <is>
          <t>Tab</t>
        </is>
      </c>
      <c r="B25" s="4" t="inlineStr">
        <is>
          <t>Role</t>
        </is>
      </c>
    </row>
    <row r="26">
      <c r="A26" t="inlineStr">
        <is>
          <t>00_Instructions</t>
        </is>
      </c>
      <c r="B26" t="inlineStr">
        <is>
          <t>This page</t>
        </is>
      </c>
    </row>
    <row r="27">
      <c r="A27" t="inlineStr">
        <is>
          <t>01_Master_Config</t>
        </is>
      </c>
      <c r="B27" t="inlineStr">
        <is>
          <t>Weights, TC Grade bands, category list — do not casually edit</t>
        </is>
      </c>
    </row>
    <row r="28">
      <c r="A28" t="inlineStr">
        <is>
          <t>02_Intake</t>
        </is>
      </c>
      <c r="B28" t="inlineStr">
        <is>
          <t>ONE product identity fields (yellow = type here)</t>
        </is>
      </c>
    </row>
    <row r="29">
      <c r="A29" t="inlineStr">
        <is>
          <t>03_Engineering_Score</t>
        </is>
      </c>
      <c r="B29" t="inlineStr">
        <is>
          <t>Product path — score applicable rows only</t>
        </is>
      </c>
    </row>
    <row r="30">
      <c r="A30" t="inlineStr">
        <is>
          <t>04_Editorial_Score</t>
        </is>
      </c>
      <c r="B30" t="inlineStr">
        <is>
          <t>Book / literature path — 21-point style metrics</t>
        </is>
      </c>
    </row>
    <row r="31">
      <c r="A31" t="inlineStr">
        <is>
          <t>05_Compliance</t>
        </is>
      </c>
      <c r="B31" t="inlineStr">
        <is>
          <t>Cert checklist for this product</t>
        </is>
      </c>
    </row>
    <row r="32">
      <c r="A32" t="inlineStr">
        <is>
          <t>06_Category_Benchmarks</t>
        </is>
      </c>
      <c r="B32" t="inlineStr">
        <is>
          <t>Mission-critical minimums by category</t>
        </is>
      </c>
    </row>
    <row r="33">
      <c r="A33" t="inlineStr">
        <is>
          <t>07_Results</t>
        </is>
      </c>
      <c r="B33" t="inlineStr">
        <is>
          <t>Auto TC Grade + brief analysis + publish recommendation</t>
        </is>
      </c>
    </row>
  </sheetData>
  <mergeCells count="9">
    <mergeCell ref="A16:B18"/>
    <mergeCell ref="A21:B22"/>
    <mergeCell ref="A11:B11"/>
    <mergeCell ref="A10:B10"/>
    <mergeCell ref="A13:B13"/>
    <mergeCell ref="A1:B1"/>
    <mergeCell ref="A4:B6"/>
    <mergeCell ref="A9:B9"/>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8" customWidth="1" min="1" max="1"/>
    <col width="18" customWidth="1" min="2" max="2"/>
    <col width="22" customWidth="1" min="3" max="3"/>
    <col width="40" customWidth="1" min="4" max="4"/>
  </cols>
  <sheetData>
    <row r="1">
      <c r="A1" s="1" t="inlineStr">
        <is>
          <t>MASTER CONFIG — locked logic from TC governance</t>
        </is>
      </c>
    </row>
    <row r="3">
      <c r="A3" s="2" t="inlineStr">
        <is>
          <t>A. Component tier weights (from Weighted Scoring Model / PDF)</t>
        </is>
      </c>
    </row>
    <row r="4">
      <c r="A4" s="4" t="inlineStr">
        <is>
          <t>Tier</t>
        </is>
      </c>
      <c r="B4" s="4" t="inlineStr">
        <is>
          <t>Weight % (midpoint)</t>
        </is>
      </c>
      <c r="C4" s="4" t="inlineStr">
        <is>
          <t>Range (governance)</t>
        </is>
      </c>
      <c r="D4" s="4" t="inlineStr">
        <is>
          <t>Notes</t>
        </is>
      </c>
    </row>
    <row r="5">
      <c r="A5" t="inlineStr">
        <is>
          <t>Mission-Critical</t>
        </is>
      </c>
      <c r="B5" s="5" t="n">
        <v>0.55</v>
      </c>
      <c r="C5" t="inlineStr">
        <is>
          <t>50–60%</t>
        </is>
      </c>
      <c r="D5" t="inlineStr">
        <is>
          <t>Core performance &amp; durability</t>
        </is>
      </c>
    </row>
    <row r="6">
      <c r="A6" t="inlineStr">
        <is>
          <t>Important</t>
        </is>
      </c>
      <c r="B6" s="5" t="n">
        <v>0.3</v>
      </c>
      <c r="C6" t="inlineStr">
        <is>
          <t>25–35%</t>
        </is>
      </c>
      <c r="D6" t="inlineStr">
        <is>
          <t>Reliability &amp; consistency</t>
        </is>
      </c>
    </row>
    <row r="7">
      <c r="A7" t="inlineStr">
        <is>
          <t>Minor</t>
        </is>
      </c>
      <c r="B7" s="5" t="n">
        <v>0.15</v>
      </c>
      <c r="C7" t="inlineStr">
        <is>
          <t>10–15%</t>
        </is>
      </c>
      <c r="D7" t="inlineStr">
        <is>
          <t>Usability &amp; secondary experience</t>
        </is>
      </c>
    </row>
    <row r="9">
      <c r="A9" s="2" t="inlineStr">
        <is>
          <t>B. Path mix (when BOTH product engineering AND editorial apply — rare)</t>
        </is>
      </c>
    </row>
    <row r="10">
      <c r="A10" t="inlineStr">
        <is>
          <t>Engineering path weight</t>
        </is>
      </c>
      <c r="B10" s="5" t="n">
        <v>1</v>
      </c>
      <c r="C10" t="inlineStr">
        <is>
          <t>Default for physical/digital products: 100% Engineering</t>
        </is>
      </c>
    </row>
    <row r="11">
      <c r="A11" t="inlineStr">
        <is>
          <t>Editorial path weight</t>
        </is>
      </c>
      <c r="B11" s="5" t="n">
        <v>1</v>
      </c>
      <c r="C11" t="inlineStr">
        <is>
          <t>Default for books/editorial: 100% Editorial (21-point family)</t>
        </is>
      </c>
    </row>
    <row r="12">
      <c r="A12" t="inlineStr">
        <is>
          <t>NOTE</t>
        </is>
      </c>
      <c r="B12" t="inlineStr">
        <is>
          <t>Do NOT force 60/40 Eng+Editorial on a desk or monitor. Your old sheet did that. Products use Eng; books use Editorial.</t>
        </is>
      </c>
    </row>
    <row r="14">
      <c r="A14" s="2" t="inlineStr">
        <is>
          <t>C. TC Grade bands (consumer-facing)</t>
        </is>
      </c>
    </row>
    <row r="15">
      <c r="A15" s="4" t="inlineStr">
        <is>
          <t>Min %</t>
        </is>
      </c>
      <c r="B15" s="4" t="inlineStr">
        <is>
          <t>Max %</t>
        </is>
      </c>
      <c r="C15" s="4" t="inlineStr">
        <is>
          <t>TC Grade</t>
        </is>
      </c>
      <c r="D15" s="4" t="inlineStr">
        <is>
          <t>Quality Band</t>
        </is>
      </c>
    </row>
    <row r="16">
      <c r="A16" t="n">
        <v>90</v>
      </c>
      <c r="B16" t="n">
        <v>100</v>
      </c>
      <c r="C16" t="inlineStr">
        <is>
          <t>5.0</t>
        </is>
      </c>
      <c r="D16" t="inlineStr">
        <is>
          <t>High</t>
        </is>
      </c>
    </row>
    <row r="17">
      <c r="A17" t="n">
        <v>85</v>
      </c>
      <c r="B17" t="n">
        <v>89.98999999999999</v>
      </c>
      <c r="C17" t="inlineStr">
        <is>
          <t>4.5</t>
        </is>
      </c>
      <c r="D17" t="inlineStr">
        <is>
          <t>Semi-High</t>
        </is>
      </c>
    </row>
    <row r="18">
      <c r="A18" t="n">
        <v>80</v>
      </c>
      <c r="B18" t="n">
        <v>84.98999999999999</v>
      </c>
      <c r="C18" t="inlineStr">
        <is>
          <t>4.0</t>
        </is>
      </c>
      <c r="D18" t="inlineStr">
        <is>
          <t>Semi-High</t>
        </is>
      </c>
    </row>
    <row r="19">
      <c r="A19" t="n">
        <v>70</v>
      </c>
      <c r="B19" t="n">
        <v>79.98999999999999</v>
      </c>
      <c r="C19" t="inlineStr">
        <is>
          <t>3.5</t>
        </is>
      </c>
      <c r="D19" t="inlineStr">
        <is>
          <t>Middle</t>
        </is>
      </c>
    </row>
    <row r="20">
      <c r="A20" t="n">
        <v>60</v>
      </c>
      <c r="B20" t="n">
        <v>69.98999999999999</v>
      </c>
      <c r="C20" t="inlineStr">
        <is>
          <t>3.0</t>
        </is>
      </c>
      <c r="D20" t="inlineStr">
        <is>
          <t>Low-Middle</t>
        </is>
      </c>
    </row>
    <row r="21">
      <c r="A21" t="n">
        <v>50</v>
      </c>
      <c r="B21" t="n">
        <v>59.99</v>
      </c>
      <c r="C21" t="inlineStr">
        <is>
          <t>2.5</t>
        </is>
      </c>
      <c r="D21" t="inlineStr">
        <is>
          <t>Low</t>
        </is>
      </c>
    </row>
    <row r="22">
      <c r="A22" t="n">
        <v>0</v>
      </c>
      <c r="B22" t="n">
        <v>49.99</v>
      </c>
      <c r="C22" t="inlineStr">
        <is>
          <t>2.0</t>
        </is>
      </c>
      <c r="D22" t="inlineStr">
        <is>
          <t>Entry / Basic</t>
        </is>
      </c>
    </row>
    <row r="25">
      <c r="A25" s="2" t="inlineStr">
        <is>
          <t>D. Categories (Intake dropdown)</t>
        </is>
      </c>
    </row>
    <row r="26">
      <c r="A26" s="4" t="inlineStr">
        <is>
          <t>Category</t>
        </is>
      </c>
    </row>
    <row r="27">
      <c r="A27" t="inlineStr">
        <is>
          <t>Desks</t>
        </is>
      </c>
    </row>
    <row r="28">
      <c r="A28" t="inlineStr">
        <is>
          <t>Speakers</t>
        </is>
      </c>
    </row>
    <row r="29">
      <c r="A29" t="inlineStr">
        <is>
          <t>Headphones</t>
        </is>
      </c>
    </row>
    <row r="30">
      <c r="A30" t="inlineStr">
        <is>
          <t>Lighting</t>
        </is>
      </c>
    </row>
    <row r="31">
      <c r="A31" t="inlineStr">
        <is>
          <t>Automation</t>
        </is>
      </c>
    </row>
    <row r="32">
      <c r="A32" t="inlineStr">
        <is>
          <t>Computing</t>
        </is>
      </c>
    </row>
    <row r="33">
      <c r="A33" t="inlineStr">
        <is>
          <t>Monitors</t>
        </is>
      </c>
    </row>
    <row r="34">
      <c r="A34" t="inlineStr">
        <is>
          <t>Displays</t>
        </is>
      </c>
    </row>
    <row r="35">
      <c r="A35" t="inlineStr">
        <is>
          <t>Books</t>
        </is>
      </c>
    </row>
    <row r="36">
      <c r="A36" t="inlineStr">
        <is>
          <t>Other</t>
        </is>
      </c>
    </row>
    <row r="40">
      <c r="A40" s="2" t="inlineStr">
        <is>
          <t>E. Eval types</t>
        </is>
      </c>
    </row>
    <row r="41">
      <c r="A41" t="inlineStr">
        <is>
          <t>Product</t>
        </is>
      </c>
    </row>
    <row r="42">
      <c r="A42" t="inlineStr">
        <is>
          <t>Book</t>
        </is>
      </c>
    </row>
    <row r="44">
      <c r="A44" s="6" t="inlineStr">
        <is>
          <t>Named ranges used by Results: see formulas on 07_Results. Grade thresholds are rows 16–22.</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55" customWidth="1" min="2" max="2"/>
  </cols>
  <sheetData>
    <row r="1">
      <c r="A1" s="1" t="inlineStr">
        <is>
          <t>INTAKE — enter one product here (yellow cells)</t>
        </is>
      </c>
    </row>
    <row r="3">
      <c r="A3" s="2" t="inlineStr">
        <is>
          <t>Product Name</t>
        </is>
      </c>
      <c r="B3" s="7" t="inlineStr"/>
    </row>
    <row r="4">
      <c r="A4" s="2" t="inlineStr">
        <is>
          <t>ASIN / Product ID</t>
        </is>
      </c>
      <c r="B4" s="7" t="inlineStr"/>
    </row>
    <row r="5">
      <c r="A5" s="2" t="inlineStr">
        <is>
          <t>Product URL</t>
        </is>
      </c>
      <c r="B5" s="7" t="inlineStr"/>
    </row>
    <row r="6">
      <c r="A6" s="2" t="inlineStr">
        <is>
          <t>Brand</t>
        </is>
      </c>
      <c r="B6" s="7" t="inlineStr"/>
    </row>
    <row r="7">
      <c r="A7" s="2" t="inlineStr">
        <is>
          <t>Category</t>
        </is>
      </c>
      <c r="B7" s="7" t="inlineStr">
        <is>
          <t>Computing</t>
        </is>
      </c>
    </row>
    <row r="8">
      <c r="A8" s="2" t="inlineStr">
        <is>
          <t>Eval Type</t>
        </is>
      </c>
      <c r="B8" s="7" t="inlineStr">
        <is>
          <t>Product</t>
        </is>
      </c>
    </row>
    <row r="9">
      <c r="A9" s="2" t="inlineStr">
        <is>
          <t>Hub Page (site URL)</t>
        </is>
      </c>
      <c r="B9" s="7" t="inlineStr"/>
    </row>
    <row r="10">
      <c r="A10" s="2" t="inlineStr">
        <is>
          <t>Affiliate tag ready? (Y/N)</t>
        </is>
      </c>
      <c r="B10" s="7" t="inlineStr">
        <is>
          <t>N</t>
        </is>
      </c>
    </row>
    <row r="11">
      <c r="A11" s="2" t="inlineStr">
        <is>
          <t>Reviewer</t>
        </is>
      </c>
      <c r="B11" s="7" t="inlineStr">
        <is>
          <t>Daniel Reid</t>
        </is>
      </c>
    </row>
    <row r="12">
      <c r="A12" s="2" t="inlineStr">
        <is>
          <t>Date</t>
        </is>
      </c>
      <c r="B12" s="7" t="inlineStr">
        <is>
          <t>2026-08-03</t>
        </is>
      </c>
    </row>
    <row r="13">
      <c r="A13" s="2" t="inlineStr">
        <is>
          <t>Evidence links (specs/teardown)</t>
        </is>
      </c>
      <c r="B13" s="7" t="inlineStr"/>
    </row>
    <row r="15">
      <c r="A15" s="2" t="inlineStr">
        <is>
          <t>Instructions</t>
        </is>
      </c>
    </row>
    <row r="16">
      <c r="A16" s="3" t="inlineStr">
        <is>
          <t>Yellow = type here. Then score 03_Engineering_Score (Product) OR 04_Editorial_Score (Book). Check Results.</t>
        </is>
      </c>
    </row>
    <row r="17"/>
  </sheetData>
  <mergeCells count="2">
    <mergeCell ref="A1:B1"/>
    <mergeCell ref="A16:B17"/>
  </mergeCells>
  <dataValidations count="3">
    <dataValidation sqref="B7" showDropDown="0" showInputMessage="0" showErrorMessage="0" allowBlank="1" type="list">
      <formula1>01_Master_Config!$A$27:$A$36</formula1>
    </dataValidation>
    <dataValidation sqref="B8" showDropDown="0" showInputMessage="0" showErrorMessage="0" allowBlank="0" type="list">
      <formula1>"Product,Book"</formula1>
    </dataValidation>
    <dataValidation sqref="B10" showDropDown="0" showInputMessage="0" showErrorMessage="0" allowBlank="0"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cols>
    <col width="18" customWidth="1" min="1" max="1"/>
    <col width="32" customWidth="1" min="2" max="2"/>
    <col width="16" customWidth="1" min="3" max="3"/>
    <col width="14" customWidth="1" min="4" max="4"/>
    <col width="14" customWidth="1" min="5" max="5"/>
    <col width="16" customWidth="1" min="6" max="6"/>
    <col width="14" customWidth="1" min="7" max="7"/>
    <col width="10" customWidth="1" min="8" max="8"/>
    <col width="18" customWidth="1" min="9" max="9"/>
  </cols>
  <sheetData>
    <row r="1">
      <c r="A1" s="1" t="inlineStr">
        <is>
          <t>ENGINEERING SCORECARD — set Applicable=Y and Score 0–10 only for relevant metrics</t>
        </is>
      </c>
      <c r="K1" t="inlineStr">
        <is>
          <t>ENG_PCT</t>
        </is>
      </c>
      <c r="L1" t="inlineStr">
        <is>
          <t>ENG_FAILS</t>
        </is>
      </c>
      <c r="M1" t="inlineStr">
        <is>
          <t>ENG_APPLICABLE</t>
        </is>
      </c>
    </row>
    <row r="2">
      <c r="A2" t="inlineStr">
        <is>
          <t>Product:</t>
        </is>
      </c>
      <c r="B2">
        <f>02_Intake!B3</f>
        <v/>
      </c>
      <c r="C2" t="inlineStr">
        <is>
          <t>Category:</t>
        </is>
      </c>
      <c r="D2">
        <f>02_Intake!B7</f>
        <v/>
      </c>
      <c r="E2" t="inlineStr">
        <is>
          <t>Eval Type:</t>
        </is>
      </c>
      <c r="F2">
        <f>02_Intake!B8</f>
        <v/>
      </c>
      <c r="K2" s="8">
        <f>G61</f>
        <v/>
      </c>
      <c r="L2">
        <f>COUNTIF(H5:H57,"Fail")</f>
        <v/>
      </c>
      <c r="M2">
        <f>COUNTIF(E5:E57,"Y")</f>
        <v/>
      </c>
    </row>
    <row r="4">
      <c r="A4" s="4" t="inlineStr">
        <is>
          <t>Component Category</t>
        </is>
      </c>
      <c r="B4" s="4" t="inlineStr">
        <is>
          <t>Mission-Critical Component</t>
        </is>
      </c>
      <c r="C4" s="4" t="inlineStr">
        <is>
          <t>Tier</t>
        </is>
      </c>
      <c r="D4" s="4" t="inlineStr">
        <is>
          <t>Weight (0–10)</t>
        </is>
      </c>
      <c r="E4" s="4" t="inlineStr">
        <is>
          <t>Applicable (Y/N)</t>
        </is>
      </c>
      <c r="F4" s="4" t="inlineStr">
        <is>
          <t>Product Score (0–10)</t>
        </is>
      </c>
      <c r="G4" s="4" t="inlineStr">
        <is>
          <t>Weighted Score</t>
        </is>
      </c>
      <c r="H4" s="4" t="inlineStr">
        <is>
          <t>Pass/Fail</t>
        </is>
      </c>
      <c r="I4" s="4" t="inlineStr">
        <is>
          <t>Compliance Body</t>
        </is>
      </c>
    </row>
    <row r="5">
      <c r="A5" s="9" t="inlineStr">
        <is>
          <t>Material Science</t>
        </is>
      </c>
      <c r="B5" s="9" t="inlineStr">
        <is>
          <t>Steel Gauge</t>
        </is>
      </c>
      <c r="C5" s="9" t="inlineStr">
        <is>
          <t>Mission-Critical</t>
        </is>
      </c>
      <c r="D5" s="9" t="n">
        <v>9</v>
      </c>
      <c r="E5" s="7" t="inlineStr">
        <is>
          <t>N</t>
        </is>
      </c>
      <c r="F5" s="7" t="inlineStr"/>
      <c r="G5" s="9">
        <f>IF(OR(E5&lt;&gt;"Y",F5=""),"",D5*F5)</f>
        <v/>
      </c>
      <c r="H5" s="9">
        <f>IF(OR(E5&lt;&gt;"Y",F5=""),"",IF(F5&gt;=7,"Pass","Fail"))</f>
        <v/>
      </c>
      <c r="I5" s="9" t="inlineStr">
        <is>
          <t>UL/CE</t>
        </is>
      </c>
    </row>
    <row r="6">
      <c r="A6" s="9" t="inlineStr">
        <is>
          <t>Material Science</t>
        </is>
      </c>
      <c r="B6" s="9" t="inlineStr">
        <is>
          <t>Aluminum Grade</t>
        </is>
      </c>
      <c r="C6" s="9" t="inlineStr">
        <is>
          <t>Important</t>
        </is>
      </c>
      <c r="D6" s="9" t="n">
        <v>8</v>
      </c>
      <c r="E6" s="7" t="inlineStr">
        <is>
          <t>N</t>
        </is>
      </c>
      <c r="F6" s="7" t="inlineStr"/>
      <c r="G6" s="9">
        <f>IF(OR(E6&lt;&gt;"Y",F6=""),"",D6*F6)</f>
        <v/>
      </c>
      <c r="H6" s="9">
        <f>IF(OR(E6&lt;&gt;"Y",F6=""),"",IF(F6&gt;=7,"Pass","Fail"))</f>
        <v/>
      </c>
      <c r="I6" s="9" t="inlineStr">
        <is>
          <t>ISO</t>
        </is>
      </c>
    </row>
    <row r="7">
      <c r="A7" s="9" t="inlineStr">
        <is>
          <t>Material Science</t>
        </is>
      </c>
      <c r="B7" s="9" t="inlineStr">
        <is>
          <t>Hardwood Species</t>
        </is>
      </c>
      <c r="C7" s="9" t="inlineStr">
        <is>
          <t>Important</t>
        </is>
      </c>
      <c r="D7" s="9" t="n">
        <v>7</v>
      </c>
      <c r="E7" s="7" t="inlineStr">
        <is>
          <t>N</t>
        </is>
      </c>
      <c r="F7" s="7" t="inlineStr"/>
      <c r="G7" s="9">
        <f>IF(OR(E7&lt;&gt;"Y",F7=""),"",D7*F7)</f>
        <v/>
      </c>
      <c r="H7" s="9">
        <f>IF(OR(E7&lt;&gt;"Y",F7=""),"",IF(F7&gt;=7,"Pass","Fail"))</f>
        <v/>
      </c>
      <c r="I7" s="9" t="inlineStr">
        <is>
          <t>NHLA</t>
        </is>
      </c>
    </row>
    <row r="8">
      <c r="A8" s="9" t="inlineStr">
        <is>
          <t>Material Science</t>
        </is>
      </c>
      <c r="B8" s="9" t="inlineStr">
        <is>
          <t>Veneer Thickness</t>
        </is>
      </c>
      <c r="C8" s="9" t="inlineStr">
        <is>
          <t>Minor</t>
        </is>
      </c>
      <c r="D8" s="9" t="n">
        <v>6</v>
      </c>
      <c r="E8" s="7" t="inlineStr">
        <is>
          <t>N</t>
        </is>
      </c>
      <c r="F8" s="7" t="inlineStr"/>
      <c r="G8" s="9">
        <f>IF(OR(E8&lt;&gt;"Y",F8=""),"",D8*F8)</f>
        <v/>
      </c>
      <c r="H8" s="9">
        <f>IF(OR(E8&lt;&gt;"Y",F8=""),"",IF(F8&gt;=7,"Pass","Fail"))</f>
        <v/>
      </c>
      <c r="I8" s="9" t="inlineStr">
        <is>
          <t>AWI</t>
        </is>
      </c>
    </row>
    <row r="9">
      <c r="A9" s="9" t="inlineStr">
        <is>
          <t>Material Science</t>
        </is>
      </c>
      <c r="B9" s="9" t="inlineStr">
        <is>
          <t>Polymer Purity</t>
        </is>
      </c>
      <c r="C9" s="9" t="inlineStr">
        <is>
          <t>Important</t>
        </is>
      </c>
      <c r="D9" s="9" t="n">
        <v>7</v>
      </c>
      <c r="E9" s="7" t="inlineStr">
        <is>
          <t>N</t>
        </is>
      </c>
      <c r="F9" s="7" t="inlineStr"/>
      <c r="G9" s="9">
        <f>IF(OR(E9&lt;&gt;"Y",F9=""),"",D9*F9)</f>
        <v/>
      </c>
      <c r="H9" s="9">
        <f>IF(OR(E9&lt;&gt;"Y",F9=""),"",IF(F9&gt;=7,"Pass","Fail"))</f>
        <v/>
      </c>
      <c r="I9" s="9" t="inlineStr">
        <is>
          <t>RoHS</t>
        </is>
      </c>
    </row>
    <row r="10">
      <c r="A10" s="9" t="inlineStr">
        <is>
          <t>Electronics</t>
        </is>
      </c>
      <c r="B10" s="9" t="inlineStr">
        <is>
          <t>PCB Layer Count</t>
        </is>
      </c>
      <c r="C10" s="9" t="inlineStr">
        <is>
          <t>Mission-Critical</t>
        </is>
      </c>
      <c r="D10" s="9" t="n">
        <v>9</v>
      </c>
      <c r="E10" s="7" t="inlineStr">
        <is>
          <t>N</t>
        </is>
      </c>
      <c r="F10" s="7" t="inlineStr"/>
      <c r="G10" s="9">
        <f>IF(OR(E10&lt;&gt;"Y",F10=""),"",D10*F10)</f>
        <v/>
      </c>
      <c r="H10" s="9">
        <f>IF(OR(E10&lt;&gt;"Y",F10=""),"",IF(F10&gt;=7,"Pass","Fail"))</f>
        <v/>
      </c>
      <c r="I10" s="9" t="inlineStr">
        <is>
          <t>IEC</t>
        </is>
      </c>
    </row>
    <row r="11">
      <c r="A11" s="9" t="inlineStr">
        <is>
          <t>Electronics</t>
        </is>
      </c>
      <c r="B11" s="9" t="inlineStr">
        <is>
          <t>Copper Trace Thickness</t>
        </is>
      </c>
      <c r="C11" s="9" t="inlineStr">
        <is>
          <t>Important</t>
        </is>
      </c>
      <c r="D11" s="9" t="n">
        <v>8</v>
      </c>
      <c r="E11" s="7" t="inlineStr">
        <is>
          <t>N</t>
        </is>
      </c>
      <c r="F11" s="7" t="inlineStr"/>
      <c r="G11" s="9">
        <f>IF(OR(E11&lt;&gt;"Y",F11=""),"",D11*F11)</f>
        <v/>
      </c>
      <c r="H11" s="9">
        <f>IF(OR(E11&lt;&gt;"Y",F11=""),"",IF(F11&gt;=7,"Pass","Fail"))</f>
        <v/>
      </c>
      <c r="I11" s="9" t="inlineStr">
        <is>
          <t>IEC</t>
        </is>
      </c>
    </row>
    <row r="12">
      <c r="A12" s="9" t="inlineStr">
        <is>
          <t>Manufacturing</t>
        </is>
      </c>
      <c r="B12" s="9" t="inlineStr">
        <is>
          <t>CNC Machining Tolerance</t>
        </is>
      </c>
      <c r="C12" s="9" t="inlineStr">
        <is>
          <t>Mission-Critical</t>
        </is>
      </c>
      <c r="D12" s="9" t="n">
        <v>9</v>
      </c>
      <c r="E12" s="7" t="inlineStr">
        <is>
          <t>N</t>
        </is>
      </c>
      <c r="F12" s="7" t="inlineStr"/>
      <c r="G12" s="9">
        <f>IF(OR(E12&lt;&gt;"Y",F12=""),"",D12*F12)</f>
        <v/>
      </c>
      <c r="H12" s="9">
        <f>IF(OR(E12&lt;&gt;"Y",F12=""),"",IF(F12&gt;=7,"Pass","Fail"))</f>
        <v/>
      </c>
      <c r="I12" s="9" t="inlineStr">
        <is>
          <t>ISO</t>
        </is>
      </c>
    </row>
    <row r="13">
      <c r="A13" s="9" t="inlineStr">
        <is>
          <t>Manufacturing</t>
        </is>
      </c>
      <c r="B13" s="9" t="inlineStr">
        <is>
          <t>Injection Molding Quality</t>
        </is>
      </c>
      <c r="C13" s="9" t="inlineStr">
        <is>
          <t>Important</t>
        </is>
      </c>
      <c r="D13" s="9" t="n">
        <v>7</v>
      </c>
      <c r="E13" s="7" t="inlineStr">
        <is>
          <t>N</t>
        </is>
      </c>
      <c r="F13" s="7" t="inlineStr"/>
      <c r="G13" s="9">
        <f>IF(OR(E13&lt;&gt;"Y",F13=""),"",D13*F13)</f>
        <v/>
      </c>
      <c r="H13" s="9">
        <f>IF(OR(E13&lt;&gt;"Y",F13=""),"",IF(F13&gt;=7,"Pass","Fail"))</f>
        <v/>
      </c>
      <c r="I13" s="9" t="inlineStr">
        <is>
          <t>ISO</t>
        </is>
      </c>
    </row>
    <row r="14">
      <c r="A14" s="9" t="inlineStr">
        <is>
          <t>Manufacturing</t>
        </is>
      </c>
      <c r="B14" s="9" t="inlineStr">
        <is>
          <t>Die Casting Quality</t>
        </is>
      </c>
      <c r="C14" s="9" t="inlineStr">
        <is>
          <t>Important</t>
        </is>
      </c>
      <c r="D14" s="9" t="n">
        <v>7</v>
      </c>
      <c r="E14" s="7" t="inlineStr">
        <is>
          <t>N</t>
        </is>
      </c>
      <c r="F14" s="7" t="inlineStr"/>
      <c r="G14" s="9">
        <f>IF(OR(E14&lt;&gt;"Y",F14=""),"",D14*F14)</f>
        <v/>
      </c>
      <c r="H14" s="9">
        <f>IF(OR(E14&lt;&gt;"Y",F14=""),"",IF(F14&gt;=7,"Pass","Fail"))</f>
        <v/>
      </c>
      <c r="I14" s="9" t="inlineStr">
        <is>
          <t>ISO</t>
        </is>
      </c>
    </row>
    <row r="15">
      <c r="A15" s="9" t="inlineStr">
        <is>
          <t>Manufacturing</t>
        </is>
      </c>
      <c r="B15" s="9" t="inlineStr">
        <is>
          <t>Joinery Method</t>
        </is>
      </c>
      <c r="C15" s="9" t="inlineStr">
        <is>
          <t>Important</t>
        </is>
      </c>
      <c r="D15" s="9" t="n">
        <v>8</v>
      </c>
      <c r="E15" s="7" t="inlineStr">
        <is>
          <t>N</t>
        </is>
      </c>
      <c r="F15" s="7" t="inlineStr"/>
      <c r="G15" s="9">
        <f>IF(OR(E15&lt;&gt;"Y",F15=""),"",D15*F15)</f>
        <v/>
      </c>
      <c r="H15" s="9">
        <f>IF(OR(E15&lt;&gt;"Y",F15=""),"",IF(F15&gt;=7,"Pass","Fail"))</f>
        <v/>
      </c>
      <c r="I15" s="9" t="inlineStr">
        <is>
          <t>AWI</t>
        </is>
      </c>
    </row>
    <row r="16">
      <c r="A16" s="9" t="inlineStr">
        <is>
          <t>Manufacturing</t>
        </is>
      </c>
      <c r="B16" s="9" t="inlineStr">
        <is>
          <t>Fastener Grade</t>
        </is>
      </c>
      <c r="C16" s="9" t="inlineStr">
        <is>
          <t>Important</t>
        </is>
      </c>
      <c r="D16" s="9" t="n">
        <v>8</v>
      </c>
      <c r="E16" s="7" t="inlineStr">
        <is>
          <t>N</t>
        </is>
      </c>
      <c r="F16" s="7" t="inlineStr"/>
      <c r="G16" s="9">
        <f>IF(OR(E16&lt;&gt;"Y",F16=""),"",D16*F16)</f>
        <v/>
      </c>
      <c r="H16" s="9">
        <f>IF(OR(E16&lt;&gt;"Y",F16=""),"",IF(F16&gt;=7,"Pass","Fail"))</f>
        <v/>
      </c>
      <c r="I16" s="9" t="inlineStr">
        <is>
          <t>ANSI</t>
        </is>
      </c>
    </row>
    <row r="17">
      <c r="A17" s="9" t="inlineStr">
        <is>
          <t>Manufacturing</t>
        </is>
      </c>
      <c r="B17" s="9" t="inlineStr">
        <is>
          <t>Adhesive Grade</t>
        </is>
      </c>
      <c r="C17" s="9" t="inlineStr">
        <is>
          <t>Minor</t>
        </is>
      </c>
      <c r="D17" s="9" t="n">
        <v>6</v>
      </c>
      <c r="E17" s="7" t="inlineStr">
        <is>
          <t>N</t>
        </is>
      </c>
      <c r="F17" s="7" t="inlineStr"/>
      <c r="G17" s="9">
        <f>IF(OR(E17&lt;&gt;"Y",F17=""),"",D17*F17)</f>
        <v/>
      </c>
      <c r="H17" s="9">
        <f>IF(OR(E17&lt;&gt;"Y",F17=""),"",IF(F17&gt;=7,"Pass","Fail"))</f>
        <v/>
      </c>
      <c r="I17" s="9" t="inlineStr">
        <is>
          <t>AWI</t>
        </is>
      </c>
    </row>
    <row r="18">
      <c r="A18" s="9" t="inlineStr">
        <is>
          <t>Structural</t>
        </is>
      </c>
      <c r="B18" s="9" t="inlineStr">
        <is>
          <t>Load Capacity</t>
        </is>
      </c>
      <c r="C18" s="9" t="inlineStr">
        <is>
          <t>Mission-Critical</t>
        </is>
      </c>
      <c r="D18" s="9" t="n">
        <v>10</v>
      </c>
      <c r="E18" s="7" t="inlineStr">
        <is>
          <t>N</t>
        </is>
      </c>
      <c r="F18" s="7" t="inlineStr"/>
      <c r="G18" s="9">
        <f>IF(OR(E18&lt;&gt;"Y",F18=""),"",D18*F18)</f>
        <v/>
      </c>
      <c r="H18" s="9">
        <f>IF(OR(E18&lt;&gt;"Y",F18=""),"",IF(F18&gt;=7,"Pass","Fail"))</f>
        <v/>
      </c>
      <c r="I18" s="9" t="inlineStr">
        <is>
          <t>BIFMA</t>
        </is>
      </c>
    </row>
    <row r="19">
      <c r="A19" s="9" t="inlineStr">
        <is>
          <t>Structural</t>
        </is>
      </c>
      <c r="B19" s="9" t="inlineStr">
        <is>
          <t>Deflection Under Load</t>
        </is>
      </c>
      <c r="C19" s="9" t="inlineStr">
        <is>
          <t>Mission-Critical</t>
        </is>
      </c>
      <c r="D19" s="9" t="n">
        <v>9</v>
      </c>
      <c r="E19" s="7" t="inlineStr">
        <is>
          <t>N</t>
        </is>
      </c>
      <c r="F19" s="7" t="inlineStr"/>
      <c r="G19" s="9">
        <f>IF(OR(E19&lt;&gt;"Y",F19=""),"",D19*F19)</f>
        <v/>
      </c>
      <c r="H19" s="9">
        <f>IF(OR(E19&lt;&gt;"Y",F19=""),"",IF(F19&gt;=7,"Pass","Fail"))</f>
        <v/>
      </c>
      <c r="I19" s="9" t="inlineStr">
        <is>
          <t>BIFMA</t>
        </is>
      </c>
    </row>
    <row r="20">
      <c r="A20" s="9" t="inlineStr">
        <is>
          <t>Structural</t>
        </is>
      </c>
      <c r="B20" s="9" t="inlineStr">
        <is>
          <t>Frame Rigidity</t>
        </is>
      </c>
      <c r="C20" s="9" t="inlineStr">
        <is>
          <t>Mission-Critical</t>
        </is>
      </c>
      <c r="D20" s="9" t="n">
        <v>9</v>
      </c>
      <c r="E20" s="7" t="inlineStr">
        <is>
          <t>N</t>
        </is>
      </c>
      <c r="F20" s="7" t="inlineStr"/>
      <c r="G20" s="9">
        <f>IF(OR(E20&lt;&gt;"Y",F20=""),"",D20*F20)</f>
        <v/>
      </c>
      <c r="H20" s="9">
        <f>IF(OR(E20&lt;&gt;"Y",F20=""),"",IF(F20&gt;=7,"Pass","Fail"))</f>
        <v/>
      </c>
      <c r="I20" s="9" t="inlineStr">
        <is>
          <t>BIFMA</t>
        </is>
      </c>
    </row>
    <row r="21">
      <c r="A21" s="9" t="inlineStr">
        <is>
          <t>Structural</t>
        </is>
      </c>
      <c r="B21" s="9" t="inlineStr">
        <is>
          <t>Vibration Control</t>
        </is>
      </c>
      <c r="C21" s="9" t="inlineStr">
        <is>
          <t>Important</t>
        </is>
      </c>
      <c r="D21" s="9" t="n">
        <v>8</v>
      </c>
      <c r="E21" s="7" t="inlineStr">
        <is>
          <t>N</t>
        </is>
      </c>
      <c r="F21" s="7" t="inlineStr"/>
      <c r="G21" s="9">
        <f>IF(OR(E21&lt;&gt;"Y",F21=""),"",D21*F21)</f>
        <v/>
      </c>
      <c r="H21" s="9">
        <f>IF(OR(E21&lt;&gt;"Y",F21=""),"",IF(F21&gt;=7,"Pass","Fail"))</f>
        <v/>
      </c>
      <c r="I21" s="9" t="inlineStr">
        <is>
          <t>BIFMA</t>
        </is>
      </c>
    </row>
    <row r="22">
      <c r="A22" s="9" t="inlineStr">
        <is>
          <t>Electrical</t>
        </is>
      </c>
      <c r="B22" s="9" t="inlineStr">
        <is>
          <t>Voltage Stability</t>
        </is>
      </c>
      <c r="C22" s="9" t="inlineStr">
        <is>
          <t>Mission-Critical</t>
        </is>
      </c>
      <c r="D22" s="9" t="n">
        <v>10</v>
      </c>
      <c r="E22" s="7" t="inlineStr">
        <is>
          <t>N</t>
        </is>
      </c>
      <c r="F22" s="7" t="inlineStr"/>
      <c r="G22" s="9">
        <f>IF(OR(E22&lt;&gt;"Y",F22=""),"",D22*F22)</f>
        <v/>
      </c>
      <c r="H22" s="9">
        <f>IF(OR(E22&lt;&gt;"Y",F22=""),"",IF(F22&gt;=7,"Pass","Fail"))</f>
        <v/>
      </c>
      <c r="I22" s="9" t="inlineStr">
        <is>
          <t>UL/ETL/CSA</t>
        </is>
      </c>
    </row>
    <row r="23">
      <c r="A23" s="9" t="inlineStr">
        <is>
          <t>Electrical</t>
        </is>
      </c>
      <c r="B23" s="9" t="inlineStr">
        <is>
          <t>Current Handling</t>
        </is>
      </c>
      <c r="C23" s="9" t="inlineStr">
        <is>
          <t>Mission-Critical</t>
        </is>
      </c>
      <c r="D23" s="9" t="n">
        <v>9</v>
      </c>
      <c r="E23" s="7" t="inlineStr">
        <is>
          <t>N</t>
        </is>
      </c>
      <c r="F23" s="7" t="inlineStr"/>
      <c r="G23" s="9">
        <f>IF(OR(E23&lt;&gt;"Y",F23=""),"",D23*F23)</f>
        <v/>
      </c>
      <c r="H23" s="9">
        <f>IF(OR(E23&lt;&gt;"Y",F23=""),"",IF(F23&gt;=7,"Pass","Fail"))</f>
        <v/>
      </c>
      <c r="I23" s="9" t="inlineStr">
        <is>
          <t>UL/ETL/CSA</t>
        </is>
      </c>
    </row>
    <row r="24">
      <c r="A24" s="9" t="inlineStr">
        <is>
          <t>Electrical</t>
        </is>
      </c>
      <c r="B24" s="9" t="inlineStr">
        <is>
          <t>Overcurrent Protection</t>
        </is>
      </c>
      <c r="C24" s="9" t="inlineStr">
        <is>
          <t>Mission-Critical</t>
        </is>
      </c>
      <c r="D24" s="9" t="n">
        <v>10</v>
      </c>
      <c r="E24" s="7" t="inlineStr">
        <is>
          <t>N</t>
        </is>
      </c>
      <c r="F24" s="7" t="inlineStr"/>
      <c r="G24" s="9">
        <f>IF(OR(E24&lt;&gt;"Y",F24=""),"",D24*F24)</f>
        <v/>
      </c>
      <c r="H24" s="9">
        <f>IF(OR(E24&lt;&gt;"Y",F24=""),"",IF(F24&gt;=7,"Pass","Fail"))</f>
        <v/>
      </c>
      <c r="I24" s="9" t="inlineStr">
        <is>
          <t>UL/ETL/CSA</t>
        </is>
      </c>
    </row>
    <row r="25">
      <c r="A25" s="9" t="inlineStr">
        <is>
          <t>Electrical</t>
        </is>
      </c>
      <c r="B25" s="9" t="inlineStr">
        <is>
          <t>Wire Gauge (AWG)</t>
        </is>
      </c>
      <c r="C25" s="9" t="inlineStr">
        <is>
          <t>Important</t>
        </is>
      </c>
      <c r="D25" s="9" t="n">
        <v>8</v>
      </c>
      <c r="E25" s="7" t="inlineStr">
        <is>
          <t>N</t>
        </is>
      </c>
      <c r="F25" s="7" t="inlineStr"/>
      <c r="G25" s="9">
        <f>IF(OR(E25&lt;&gt;"Y",F25=""),"",D25*F25)</f>
        <v/>
      </c>
      <c r="H25" s="9">
        <f>IF(OR(E25&lt;&gt;"Y",F25=""),"",IF(F25&gt;=7,"Pass","Fail"))</f>
        <v/>
      </c>
      <c r="I25" s="9" t="inlineStr">
        <is>
          <t>UL</t>
        </is>
      </c>
    </row>
    <row r="26">
      <c r="A26" s="9" t="inlineStr">
        <is>
          <t>Electrical</t>
        </is>
      </c>
      <c r="B26" s="9" t="inlineStr">
        <is>
          <t>Insulation Rating</t>
        </is>
      </c>
      <c r="C26" s="9" t="inlineStr">
        <is>
          <t>Important</t>
        </is>
      </c>
      <c r="D26" s="9" t="n">
        <v>8</v>
      </c>
      <c r="E26" s="7" t="inlineStr">
        <is>
          <t>N</t>
        </is>
      </c>
      <c r="F26" s="7" t="inlineStr"/>
      <c r="G26" s="9">
        <f>IF(OR(E26&lt;&gt;"Y",F26=""),"",D26*F26)</f>
        <v/>
      </c>
      <c r="H26" s="9">
        <f>IF(OR(E26&lt;&gt;"Y",F26=""),"",IF(F26&gt;=7,"Pass","Fail"))</f>
        <v/>
      </c>
      <c r="I26" s="9" t="inlineStr">
        <is>
          <t>UL</t>
        </is>
      </c>
    </row>
    <row r="27">
      <c r="A27" s="9" t="inlineStr">
        <is>
          <t>Electrical</t>
        </is>
      </c>
      <c r="B27" s="9" t="inlineStr">
        <is>
          <t>Connector Quality</t>
        </is>
      </c>
      <c r="C27" s="9" t="inlineStr">
        <is>
          <t>Important</t>
        </is>
      </c>
      <c r="D27" s="9" t="n">
        <v>7</v>
      </c>
      <c r="E27" s="7" t="inlineStr">
        <is>
          <t>N</t>
        </is>
      </c>
      <c r="F27" s="7" t="inlineStr"/>
      <c r="G27" s="9">
        <f>IF(OR(E27&lt;&gt;"Y",F27=""),"",D27*F27)</f>
        <v/>
      </c>
      <c r="H27" s="9">
        <f>IF(OR(E27&lt;&gt;"Y",F27=""),"",IF(F27&gt;=7,"Pass","Fail"))</f>
        <v/>
      </c>
      <c r="I27" s="9" t="inlineStr">
        <is>
          <t>UL</t>
        </is>
      </c>
    </row>
    <row r="28">
      <c r="A28" s="9" t="inlineStr">
        <is>
          <t>Electrical</t>
        </is>
      </c>
      <c r="B28" s="9" t="inlineStr">
        <is>
          <t>Power Supply Certification (80+)</t>
        </is>
      </c>
      <c r="C28" s="9" t="inlineStr">
        <is>
          <t>Mission-Critical</t>
        </is>
      </c>
      <c r="D28" s="9" t="n">
        <v>9</v>
      </c>
      <c r="E28" s="7" t="inlineStr">
        <is>
          <t>N</t>
        </is>
      </c>
      <c r="F28" s="7" t="inlineStr"/>
      <c r="G28" s="9">
        <f>IF(OR(E28&lt;&gt;"Y",F28=""),"",D28*F28)</f>
        <v/>
      </c>
      <c r="H28" s="9">
        <f>IF(OR(E28&lt;&gt;"Y",F28=""),"",IF(F28&gt;=7,"Pass","Fail"))</f>
        <v/>
      </c>
      <c r="I28" s="9" t="inlineStr">
        <is>
          <t>UL</t>
        </is>
      </c>
    </row>
    <row r="29">
      <c r="A29" s="9" t="inlineStr">
        <is>
          <t>Acoustic</t>
        </is>
      </c>
      <c r="B29" s="9" t="inlineStr">
        <is>
          <t>Frequency Response Accuracy</t>
        </is>
      </c>
      <c r="C29" s="9" t="inlineStr">
        <is>
          <t>Mission-Critical</t>
        </is>
      </c>
      <c r="D29" s="9" t="n">
        <v>9</v>
      </c>
      <c r="E29" s="7" t="inlineStr">
        <is>
          <t>N</t>
        </is>
      </c>
      <c r="F29" s="7" t="inlineStr"/>
      <c r="G29" s="9">
        <f>IF(OR(E29&lt;&gt;"Y",F29=""),"",D29*F29)</f>
        <v/>
      </c>
      <c r="H29" s="9">
        <f>IF(OR(E29&lt;&gt;"Y",F29=""),"",IF(F29&gt;=7,"Pass","Fail"))</f>
        <v/>
      </c>
      <c r="I29" s="9" t="inlineStr">
        <is>
          <t>AES</t>
        </is>
      </c>
    </row>
    <row r="30">
      <c r="A30" s="9" t="inlineStr">
        <is>
          <t>Acoustic</t>
        </is>
      </c>
      <c r="B30" s="9" t="inlineStr">
        <is>
          <t>Impedance</t>
        </is>
      </c>
      <c r="C30" s="9" t="inlineStr">
        <is>
          <t>Important</t>
        </is>
      </c>
      <c r="D30" s="9" t="n">
        <v>7</v>
      </c>
      <c r="E30" s="7" t="inlineStr">
        <is>
          <t>N</t>
        </is>
      </c>
      <c r="F30" s="7" t="inlineStr"/>
      <c r="G30" s="9">
        <f>IF(OR(E30&lt;&gt;"Y",F30=""),"",D30*F30)</f>
        <v/>
      </c>
      <c r="H30" s="9">
        <f>IF(OR(E30&lt;&gt;"Y",F30=""),"",IF(F30&gt;=7,"Pass","Fail"))</f>
        <v/>
      </c>
      <c r="I30" s="9" t="inlineStr">
        <is>
          <t>AES</t>
        </is>
      </c>
    </row>
    <row r="31">
      <c r="A31" s="9" t="inlineStr">
        <is>
          <t>Acoustic</t>
        </is>
      </c>
      <c r="B31" s="9" t="inlineStr">
        <is>
          <t>Sensitivity</t>
        </is>
      </c>
      <c r="C31" s="9" t="inlineStr">
        <is>
          <t>Important</t>
        </is>
      </c>
      <c r="D31" s="9" t="n">
        <v>7</v>
      </c>
      <c r="E31" s="7" t="inlineStr">
        <is>
          <t>N</t>
        </is>
      </c>
      <c r="F31" s="7" t="inlineStr"/>
      <c r="G31" s="9">
        <f>IF(OR(E31&lt;&gt;"Y",F31=""),"",D31*F31)</f>
        <v/>
      </c>
      <c r="H31" s="9">
        <f>IF(OR(E31&lt;&gt;"Y",F31=""),"",IF(F31&gt;=7,"Pass","Fail"))</f>
        <v/>
      </c>
      <c r="I31" s="9" t="inlineStr">
        <is>
          <t>AES</t>
        </is>
      </c>
    </row>
    <row r="32">
      <c r="A32" s="9" t="inlineStr">
        <is>
          <t>Acoustic</t>
        </is>
      </c>
      <c r="B32" s="9" t="inlineStr">
        <is>
          <t>SNR</t>
        </is>
      </c>
      <c r="C32" s="9" t="inlineStr">
        <is>
          <t>Important</t>
        </is>
      </c>
      <c r="D32" s="9" t="n">
        <v>8</v>
      </c>
      <c r="E32" s="7" t="inlineStr">
        <is>
          <t>N</t>
        </is>
      </c>
      <c r="F32" s="7" t="inlineStr"/>
      <c r="G32" s="9">
        <f>IF(OR(E32&lt;&gt;"Y",F32=""),"",D32*F32)</f>
        <v/>
      </c>
      <c r="H32" s="9">
        <f>IF(OR(E32&lt;&gt;"Y",F32=""),"",IF(F32&gt;=7,"Pass","Fail"))</f>
        <v/>
      </c>
      <c r="I32" s="9" t="inlineStr">
        <is>
          <t>AES</t>
        </is>
      </c>
    </row>
    <row r="33">
      <c r="A33" s="9" t="inlineStr">
        <is>
          <t>Acoustic</t>
        </is>
      </c>
      <c r="B33" s="9" t="inlineStr">
        <is>
          <t>THD</t>
        </is>
      </c>
      <c r="C33" s="9" t="inlineStr">
        <is>
          <t>Mission-Critical</t>
        </is>
      </c>
      <c r="D33" s="9" t="n">
        <v>9</v>
      </c>
      <c r="E33" s="7" t="inlineStr">
        <is>
          <t>N</t>
        </is>
      </c>
      <c r="F33" s="7" t="inlineStr"/>
      <c r="G33" s="9">
        <f>IF(OR(E33&lt;&gt;"Y",F33=""),"",D33*F33)</f>
        <v/>
      </c>
      <c r="H33" s="9">
        <f>IF(OR(E33&lt;&gt;"Y",F33=""),"",IF(F33&gt;=7,"Pass","Fail"))</f>
        <v/>
      </c>
      <c r="I33" s="9" t="inlineStr">
        <is>
          <t>AES</t>
        </is>
      </c>
    </row>
    <row r="34">
      <c r="A34" s="9" t="inlineStr">
        <is>
          <t>Acoustic</t>
        </is>
      </c>
      <c r="B34" s="9" t="inlineStr">
        <is>
          <t>Cabinet Resonance Control</t>
        </is>
      </c>
      <c r="C34" s="9" t="inlineStr">
        <is>
          <t>Important</t>
        </is>
      </c>
      <c r="D34" s="9" t="n">
        <v>8</v>
      </c>
      <c r="E34" s="7" t="inlineStr">
        <is>
          <t>N</t>
        </is>
      </c>
      <c r="F34" s="7" t="inlineStr"/>
      <c r="G34" s="9">
        <f>IF(OR(E34&lt;&gt;"Y",F34=""),"",D34*F34)</f>
        <v/>
      </c>
      <c r="H34" s="9">
        <f>IF(OR(E34&lt;&gt;"Y",F34=""),"",IF(F34&gt;=7,"Pass","Fail"))</f>
        <v/>
      </c>
      <c r="I34" s="9" t="inlineStr">
        <is>
          <t>AES</t>
        </is>
      </c>
    </row>
    <row r="35">
      <c r="A35" s="9" t="inlineStr">
        <is>
          <t>Digital</t>
        </is>
      </c>
      <c r="B35" s="9" t="inlineStr">
        <is>
          <t>CPU Architecture</t>
        </is>
      </c>
      <c r="C35" s="9" t="inlineStr">
        <is>
          <t>Mission-Critical</t>
        </is>
      </c>
      <c r="D35" s="9" t="n">
        <v>9</v>
      </c>
      <c r="E35" s="7" t="inlineStr">
        <is>
          <t>N</t>
        </is>
      </c>
      <c r="F35" s="7" t="inlineStr"/>
      <c r="G35" s="9">
        <f>IF(OR(E35&lt;&gt;"Y",F35=""),"",D35*F35)</f>
        <v/>
      </c>
      <c r="H35" s="9">
        <f>IF(OR(E35&lt;&gt;"Y",F35=""),"",IF(F35&gt;=7,"Pass","Fail"))</f>
        <v/>
      </c>
      <c r="I35" s="9" t="inlineStr">
        <is>
          <t>IEEE</t>
        </is>
      </c>
    </row>
    <row r="36">
      <c r="A36" s="9" t="inlineStr">
        <is>
          <t>Digital</t>
        </is>
      </c>
      <c r="B36" s="9" t="inlineStr">
        <is>
          <t>GPU Capability</t>
        </is>
      </c>
      <c r="C36" s="9" t="inlineStr">
        <is>
          <t>Important</t>
        </is>
      </c>
      <c r="D36" s="9" t="n">
        <v>8</v>
      </c>
      <c r="E36" s="7" t="inlineStr">
        <is>
          <t>N</t>
        </is>
      </c>
      <c r="F36" s="7" t="inlineStr"/>
      <c r="G36" s="9">
        <f>IF(OR(E36&lt;&gt;"Y",F36=""),"",D36*F36)</f>
        <v/>
      </c>
      <c r="H36" s="9">
        <f>IF(OR(E36&lt;&gt;"Y",F36=""),"",IF(F36&gt;=7,"Pass","Fail"))</f>
        <v/>
      </c>
      <c r="I36" s="9" t="inlineStr">
        <is>
          <t>IEEE</t>
        </is>
      </c>
    </row>
    <row r="37">
      <c r="A37" s="9" t="inlineStr">
        <is>
          <t>Digital</t>
        </is>
      </c>
      <c r="B37" s="9" t="inlineStr">
        <is>
          <t>RAM Timings</t>
        </is>
      </c>
      <c r="C37" s="9" t="inlineStr">
        <is>
          <t>Important</t>
        </is>
      </c>
      <c r="D37" s="9" t="n">
        <v>7</v>
      </c>
      <c r="E37" s="7" t="inlineStr">
        <is>
          <t>N</t>
        </is>
      </c>
      <c r="F37" s="7" t="inlineStr"/>
      <c r="G37" s="9">
        <f>IF(OR(E37&lt;&gt;"Y",F37=""),"",D37*F37)</f>
        <v/>
      </c>
      <c r="H37" s="9">
        <f>IF(OR(E37&lt;&gt;"Y",F37=""),"",IF(F37&gt;=7,"Pass","Fail"))</f>
        <v/>
      </c>
      <c r="I37" s="9" t="inlineStr">
        <is>
          <t>JEDEC</t>
        </is>
      </c>
    </row>
    <row r="38">
      <c r="A38" s="9" t="inlineStr">
        <is>
          <t>Digital</t>
        </is>
      </c>
      <c r="B38" s="9" t="inlineStr">
        <is>
          <t>SSD Controller Type</t>
        </is>
      </c>
      <c r="C38" s="9" t="inlineStr">
        <is>
          <t>Important</t>
        </is>
      </c>
      <c r="D38" s="9" t="n">
        <v>8</v>
      </c>
      <c r="E38" s="7" t="inlineStr">
        <is>
          <t>N</t>
        </is>
      </c>
      <c r="F38" s="7" t="inlineStr"/>
      <c r="G38" s="9">
        <f>IF(OR(E38&lt;&gt;"Y",F38=""),"",D38*F38)</f>
        <v/>
      </c>
      <c r="H38" s="9">
        <f>IF(OR(E38&lt;&gt;"Y",F38=""),"",IF(F38&gt;=7,"Pass","Fail"))</f>
        <v/>
      </c>
      <c r="I38" s="9" t="inlineStr">
        <is>
          <t>JEDEC</t>
        </is>
      </c>
    </row>
    <row r="39">
      <c r="A39" s="9" t="inlineStr">
        <is>
          <t>Digital</t>
        </is>
      </c>
      <c r="B39" s="9" t="inlineStr">
        <is>
          <t>Network Standards</t>
        </is>
      </c>
      <c r="C39" s="9" t="inlineStr">
        <is>
          <t>Important</t>
        </is>
      </c>
      <c r="D39" s="9" t="n">
        <v>7</v>
      </c>
      <c r="E39" s="7" t="inlineStr">
        <is>
          <t>N</t>
        </is>
      </c>
      <c r="F39" s="7" t="inlineStr"/>
      <c r="G39" s="9">
        <f>IF(OR(E39&lt;&gt;"Y",F39=""),"",D39*F39)</f>
        <v/>
      </c>
      <c r="H39" s="9">
        <f>IF(OR(E39&lt;&gt;"Y",F39=""),"",IF(F39&gt;=7,"Pass","Fail"))</f>
        <v/>
      </c>
      <c r="I39" s="9" t="inlineStr">
        <is>
          <t>IEEE</t>
        </is>
      </c>
    </row>
    <row r="40">
      <c r="A40" s="9" t="inlineStr">
        <is>
          <t>Digital</t>
        </is>
      </c>
      <c r="B40" s="9" t="inlineStr">
        <is>
          <t>Latency &amp; Throughput</t>
        </is>
      </c>
      <c r="C40" s="9" t="inlineStr">
        <is>
          <t>Important</t>
        </is>
      </c>
      <c r="D40" s="9" t="n">
        <v>8</v>
      </c>
      <c r="E40" s="7" t="inlineStr">
        <is>
          <t>N</t>
        </is>
      </c>
      <c r="F40" s="7" t="inlineStr"/>
      <c r="G40" s="9">
        <f>IF(OR(E40&lt;&gt;"Y",F40=""),"",D40*F40)</f>
        <v/>
      </c>
      <c r="H40" s="9">
        <f>IF(OR(E40&lt;&gt;"Y",F40=""),"",IF(F40&gt;=7,"Pass","Fail"))</f>
        <v/>
      </c>
      <c r="I40" s="9" t="inlineStr">
        <is>
          <t>IEEE</t>
        </is>
      </c>
    </row>
    <row r="41">
      <c r="A41" s="9" t="inlineStr">
        <is>
          <t>Digital</t>
        </is>
      </c>
      <c r="B41" s="9" t="inlineStr">
        <is>
          <t>AI Processing Capability</t>
        </is>
      </c>
      <c r="C41" s="9" t="inlineStr">
        <is>
          <t>Mission-Critical</t>
        </is>
      </c>
      <c r="D41" s="9" t="n">
        <v>9</v>
      </c>
      <c r="E41" s="7" t="inlineStr">
        <is>
          <t>N</t>
        </is>
      </c>
      <c r="F41" s="7" t="inlineStr"/>
      <c r="G41" s="9">
        <f>IF(OR(E41&lt;&gt;"Y",F41=""),"",D41*F41)</f>
        <v/>
      </c>
      <c r="H41" s="9">
        <f>IF(OR(E41&lt;&gt;"Y",F41=""),"",IF(F41&gt;=7,"Pass","Fail"))</f>
        <v/>
      </c>
      <c r="I41" s="9" t="inlineStr">
        <is>
          <t>IEEE</t>
        </is>
      </c>
    </row>
    <row r="42">
      <c r="A42" s="9" t="inlineStr">
        <is>
          <t>Automation</t>
        </is>
      </c>
      <c r="B42" s="9" t="inlineStr">
        <is>
          <t>Protocol Reliability</t>
        </is>
      </c>
      <c r="C42" s="9" t="inlineStr">
        <is>
          <t>Mission-Critical</t>
        </is>
      </c>
      <c r="D42" s="9" t="n">
        <v>9</v>
      </c>
      <c r="E42" s="7" t="inlineStr">
        <is>
          <t>N</t>
        </is>
      </c>
      <c r="F42" s="7" t="inlineStr"/>
      <c r="G42" s="9">
        <f>IF(OR(E42&lt;&gt;"Y",F42=""),"",D42*F42)</f>
        <v/>
      </c>
      <c r="H42" s="9">
        <f>IF(OR(E42&lt;&gt;"Y",F42=""),"",IF(F42&gt;=7,"Pass","Fail"))</f>
        <v/>
      </c>
      <c r="I42" s="9" t="inlineStr">
        <is>
          <t>Matter/Zigbee/Z-Wave</t>
        </is>
      </c>
    </row>
    <row r="43">
      <c r="A43" s="9" t="inlineStr">
        <is>
          <t>Automation</t>
        </is>
      </c>
      <c r="B43" s="9" t="inlineStr">
        <is>
          <t>Sensor Accuracy</t>
        </is>
      </c>
      <c r="C43" s="9" t="inlineStr">
        <is>
          <t>Important</t>
        </is>
      </c>
      <c r="D43" s="9" t="n">
        <v>8</v>
      </c>
      <c r="E43" s="7" t="inlineStr">
        <is>
          <t>N</t>
        </is>
      </c>
      <c r="F43" s="7" t="inlineStr"/>
      <c r="G43" s="9">
        <f>IF(OR(E43&lt;&gt;"Y",F43=""),"",D43*F43)</f>
        <v/>
      </c>
      <c r="H43" s="9">
        <f>IF(OR(E43&lt;&gt;"Y",F43=""),"",IF(F43&gt;=7,"Pass","Fail"))</f>
        <v/>
      </c>
      <c r="I43" s="9" t="inlineStr">
        <is>
          <t>IEC</t>
        </is>
      </c>
    </row>
    <row r="44">
      <c r="A44" s="9" t="inlineStr">
        <is>
          <t>Automation</t>
        </is>
      </c>
      <c r="B44" s="9" t="inlineStr">
        <is>
          <t>Firmware Stability</t>
        </is>
      </c>
      <c r="C44" s="9" t="inlineStr">
        <is>
          <t>Important</t>
        </is>
      </c>
      <c r="D44" s="9" t="n">
        <v>7</v>
      </c>
      <c r="E44" s="7" t="inlineStr">
        <is>
          <t>N</t>
        </is>
      </c>
      <c r="F44" s="7" t="inlineStr"/>
      <c r="G44" s="9">
        <f>IF(OR(E44&lt;&gt;"Y",F44=""),"",D44*F44)</f>
        <v/>
      </c>
      <c r="H44" s="9">
        <f>IF(OR(E44&lt;&gt;"Y",F44=""),"",IF(F44&gt;=7,"Pass","Fail"))</f>
        <v/>
      </c>
      <c r="I44" s="9" t="inlineStr">
        <is>
          <t>IEC</t>
        </is>
      </c>
    </row>
    <row r="45">
      <c r="A45" s="9" t="inlineStr">
        <is>
          <t>Automation</t>
        </is>
      </c>
      <c r="B45" s="9" t="inlineStr">
        <is>
          <t>Interoperability</t>
        </is>
      </c>
      <c r="C45" s="9" t="inlineStr">
        <is>
          <t>Important</t>
        </is>
      </c>
      <c r="D45" s="9" t="n">
        <v>8</v>
      </c>
      <c r="E45" s="7" t="inlineStr">
        <is>
          <t>N</t>
        </is>
      </c>
      <c r="F45" s="7" t="inlineStr"/>
      <c r="G45" s="9">
        <f>IF(OR(E45&lt;&gt;"Y",F45=""),"",D45*F45)</f>
        <v/>
      </c>
      <c r="H45" s="9">
        <f>IF(OR(E45&lt;&gt;"Y",F45=""),"",IF(F45&gt;=7,"Pass","Fail"))</f>
        <v/>
      </c>
      <c r="I45" s="9" t="inlineStr">
        <is>
          <t>Matter</t>
        </is>
      </c>
    </row>
    <row r="46">
      <c r="A46" s="9" t="inlineStr">
        <is>
          <t>Automation</t>
        </is>
      </c>
      <c r="B46" s="9" t="inlineStr">
        <is>
          <t>Automation Latency</t>
        </is>
      </c>
      <c r="C46" s="9" t="inlineStr">
        <is>
          <t>Important</t>
        </is>
      </c>
      <c r="D46" s="9" t="n">
        <v>8</v>
      </c>
      <c r="E46" s="7" t="inlineStr">
        <is>
          <t>N</t>
        </is>
      </c>
      <c r="F46" s="7" t="inlineStr"/>
      <c r="G46" s="9">
        <f>IF(OR(E46&lt;&gt;"Y",F46=""),"",D46*F46)</f>
        <v/>
      </c>
      <c r="H46" s="9">
        <f>IF(OR(E46&lt;&gt;"Y",F46=""),"",IF(F46&gt;=7,"Pass","Fail"))</f>
        <v/>
      </c>
      <c r="I46" s="9" t="inlineStr">
        <is>
          <t>IEEE</t>
        </is>
      </c>
    </row>
    <row r="47">
      <c r="A47" s="9" t="inlineStr">
        <is>
          <t>Lighting</t>
        </is>
      </c>
      <c r="B47" s="9" t="inlineStr">
        <is>
          <t>LED Binning Quality</t>
        </is>
      </c>
      <c r="C47" s="9" t="inlineStr">
        <is>
          <t>Mission-Critical</t>
        </is>
      </c>
      <c r="D47" s="9" t="n">
        <v>9</v>
      </c>
      <c r="E47" s="7" t="inlineStr">
        <is>
          <t>N</t>
        </is>
      </c>
      <c r="F47" s="7" t="inlineStr"/>
      <c r="G47" s="9">
        <f>IF(OR(E47&lt;&gt;"Y",F47=""),"",D47*F47)</f>
        <v/>
      </c>
      <c r="H47" s="9">
        <f>IF(OR(E47&lt;&gt;"Y",F47=""),"",IF(F47&gt;=7,"Pass","Fail"))</f>
        <v/>
      </c>
      <c r="I47" s="9" t="inlineStr">
        <is>
          <t>CIE</t>
        </is>
      </c>
    </row>
    <row r="48">
      <c r="A48" s="9" t="inlineStr">
        <is>
          <t>Lighting</t>
        </is>
      </c>
      <c r="B48" s="9" t="inlineStr">
        <is>
          <t>CRI</t>
        </is>
      </c>
      <c r="C48" s="9" t="inlineStr">
        <is>
          <t>Important</t>
        </is>
      </c>
      <c r="D48" s="9" t="n">
        <v>8</v>
      </c>
      <c r="E48" s="7" t="inlineStr">
        <is>
          <t>N</t>
        </is>
      </c>
      <c r="F48" s="7" t="inlineStr"/>
      <c r="G48" s="9">
        <f>IF(OR(E48&lt;&gt;"Y",F48=""),"",D48*F48)</f>
        <v/>
      </c>
      <c r="H48" s="9">
        <f>IF(OR(E48&lt;&gt;"Y",F48=""),"",IF(F48&gt;=7,"Pass","Fail"))</f>
        <v/>
      </c>
      <c r="I48" s="9" t="inlineStr">
        <is>
          <t>IES</t>
        </is>
      </c>
    </row>
    <row r="49">
      <c r="A49" s="9" t="inlineStr">
        <is>
          <t>Lighting</t>
        </is>
      </c>
      <c r="B49" s="9" t="inlineStr">
        <is>
          <t>CCT Stability</t>
        </is>
      </c>
      <c r="C49" s="9" t="inlineStr">
        <is>
          <t>Important</t>
        </is>
      </c>
      <c r="D49" s="9" t="n">
        <v>7</v>
      </c>
      <c r="E49" s="7" t="inlineStr">
        <is>
          <t>N</t>
        </is>
      </c>
      <c r="F49" s="7" t="inlineStr"/>
      <c r="G49" s="9">
        <f>IF(OR(E49&lt;&gt;"Y",F49=""),"",D49*F49)</f>
        <v/>
      </c>
      <c r="H49" s="9">
        <f>IF(OR(E49&lt;&gt;"Y",F49=""),"",IF(F49&gt;=7,"Pass","Fail"))</f>
        <v/>
      </c>
      <c r="I49" s="9" t="inlineStr">
        <is>
          <t>CIE</t>
        </is>
      </c>
    </row>
    <row r="50">
      <c r="A50" s="9" t="inlineStr">
        <is>
          <t>Lighting</t>
        </is>
      </c>
      <c r="B50" s="9" t="inlineStr">
        <is>
          <t>Driver Reliability</t>
        </is>
      </c>
      <c r="C50" s="9" t="inlineStr">
        <is>
          <t>Mission-Critical</t>
        </is>
      </c>
      <c r="D50" s="9" t="n">
        <v>9</v>
      </c>
      <c r="E50" s="7" t="inlineStr">
        <is>
          <t>N</t>
        </is>
      </c>
      <c r="F50" s="7" t="inlineStr"/>
      <c r="G50" s="9">
        <f>IF(OR(E50&lt;&gt;"Y",F50=""),"",D50*F50)</f>
        <v/>
      </c>
      <c r="H50" s="9">
        <f>IF(OR(E50&lt;&gt;"Y",F50=""),"",IF(F50&gt;=7,"Pass","Fail"))</f>
        <v/>
      </c>
      <c r="I50" s="9" t="inlineStr">
        <is>
          <t>UL</t>
        </is>
      </c>
    </row>
    <row r="51">
      <c r="A51" s="9" t="inlineStr">
        <is>
          <t>Lighting</t>
        </is>
      </c>
      <c r="B51" s="9" t="inlineStr">
        <is>
          <t>Thermal Dissipation</t>
        </is>
      </c>
      <c r="C51" s="9" t="inlineStr">
        <is>
          <t>Important</t>
        </is>
      </c>
      <c r="D51" s="9" t="n">
        <v>8</v>
      </c>
      <c r="E51" s="7" t="inlineStr">
        <is>
          <t>N</t>
        </is>
      </c>
      <c r="F51" s="7" t="inlineStr"/>
      <c r="G51" s="9">
        <f>IF(OR(E51&lt;&gt;"Y",F51=""),"",D51*F51)</f>
        <v/>
      </c>
      <c r="H51" s="9">
        <f>IF(OR(E51&lt;&gt;"Y",F51=""),"",IF(F51&gt;=7,"Pass","Fail"))</f>
        <v/>
      </c>
      <c r="I51" s="9" t="inlineStr">
        <is>
          <t>UL</t>
        </is>
      </c>
    </row>
    <row r="52">
      <c r="A52" s="9" t="inlineStr">
        <is>
          <t>Lifecycle</t>
        </is>
      </c>
      <c r="B52" s="9" t="inlineStr">
        <is>
          <t>Fatigue Resistance</t>
        </is>
      </c>
      <c r="C52" s="9" t="inlineStr">
        <is>
          <t>Mission-Critical</t>
        </is>
      </c>
      <c r="D52" s="9" t="n">
        <v>9</v>
      </c>
      <c r="E52" s="7" t="inlineStr">
        <is>
          <t>N</t>
        </is>
      </c>
      <c r="F52" s="7" t="inlineStr"/>
      <c r="G52" s="9">
        <f>IF(OR(E52&lt;&gt;"Y",F52=""),"",D52*F52)</f>
        <v/>
      </c>
      <c r="H52" s="9">
        <f>IF(OR(E52&lt;&gt;"Y",F52=""),"",IF(F52&gt;=7,"Pass","Fail"))</f>
        <v/>
      </c>
      <c r="I52" s="9" t="inlineStr">
        <is>
          <t>ISO</t>
        </is>
      </c>
    </row>
    <row r="53">
      <c r="A53" s="9" t="inlineStr">
        <is>
          <t>Lifecycle</t>
        </is>
      </c>
      <c r="B53" s="9" t="inlineStr">
        <is>
          <t>Wear-Cycle Durability</t>
        </is>
      </c>
      <c r="C53" s="9" t="inlineStr">
        <is>
          <t>Important</t>
        </is>
      </c>
      <c r="D53" s="9" t="n">
        <v>8</v>
      </c>
      <c r="E53" s="7" t="inlineStr">
        <is>
          <t>N</t>
        </is>
      </c>
      <c r="F53" s="7" t="inlineStr"/>
      <c r="G53" s="9">
        <f>IF(OR(E53&lt;&gt;"Y",F53=""),"",D53*F53)</f>
        <v/>
      </c>
      <c r="H53" s="9">
        <f>IF(OR(E53&lt;&gt;"Y",F53=""),"",IF(F53&gt;=7,"Pass","Fail"))</f>
        <v/>
      </c>
      <c r="I53" s="9" t="inlineStr">
        <is>
          <t>ISO</t>
        </is>
      </c>
    </row>
    <row r="54">
      <c r="A54" s="9" t="inlineStr">
        <is>
          <t>Lifecycle</t>
        </is>
      </c>
      <c r="B54" s="9" t="inlineStr">
        <is>
          <t>Thermal Stability Over Time</t>
        </is>
      </c>
      <c r="C54" s="9" t="inlineStr">
        <is>
          <t>Important</t>
        </is>
      </c>
      <c r="D54" s="9" t="n">
        <v>8</v>
      </c>
      <c r="E54" s="7" t="inlineStr">
        <is>
          <t>N</t>
        </is>
      </c>
      <c r="F54" s="7" t="inlineStr"/>
      <c r="G54" s="9">
        <f>IF(OR(E54&lt;&gt;"Y",F54=""),"",D54*F54)</f>
        <v/>
      </c>
      <c r="H54" s="9">
        <f>IF(OR(E54&lt;&gt;"Y",F54=""),"",IF(F54&gt;=7,"Pass","Fail"))</f>
        <v/>
      </c>
      <c r="I54" s="9" t="inlineStr">
        <is>
          <t>IEC</t>
        </is>
      </c>
    </row>
    <row r="55">
      <c r="A55" s="9" t="inlineStr">
        <is>
          <t>Lifecycle</t>
        </is>
      </c>
      <c r="B55" s="9" t="inlineStr">
        <is>
          <t>Firmware Update Reliability</t>
        </is>
      </c>
      <c r="C55" s="9" t="inlineStr">
        <is>
          <t>Important</t>
        </is>
      </c>
      <c r="D55" s="9" t="n">
        <v>7</v>
      </c>
      <c r="E55" s="7" t="inlineStr">
        <is>
          <t>N</t>
        </is>
      </c>
      <c r="F55" s="7" t="inlineStr"/>
      <c r="G55" s="9">
        <f>IF(OR(E55&lt;&gt;"Y",F55=""),"",D55*F55)</f>
        <v/>
      </c>
      <c r="H55" s="9">
        <f>IF(OR(E55&lt;&gt;"Y",F55=""),"",IF(F55&gt;=7,"Pass","Fail"))</f>
        <v/>
      </c>
      <c r="I55" s="9" t="inlineStr">
        <is>
          <t>Manufacturer</t>
        </is>
      </c>
    </row>
    <row r="56">
      <c r="A56" s="9" t="inlineStr">
        <is>
          <t>Lifecycle</t>
        </is>
      </c>
      <c r="B56" s="9" t="inlineStr">
        <is>
          <t>Serviceability</t>
        </is>
      </c>
      <c r="C56" s="9" t="inlineStr">
        <is>
          <t>Important</t>
        </is>
      </c>
      <c r="D56" s="9" t="n">
        <v>7</v>
      </c>
      <c r="E56" s="7" t="inlineStr">
        <is>
          <t>N</t>
        </is>
      </c>
      <c r="F56" s="7" t="inlineStr"/>
      <c r="G56" s="9">
        <f>IF(OR(E56&lt;&gt;"Y",F56=""),"",D56*F56)</f>
        <v/>
      </c>
      <c r="H56" s="9">
        <f>IF(OR(E56&lt;&gt;"Y",F56=""),"",IF(F56&gt;=7,"Pass","Fail"))</f>
        <v/>
      </c>
      <c r="I56" s="9" t="inlineStr">
        <is>
          <t>Manufacturer</t>
        </is>
      </c>
    </row>
    <row r="57">
      <c r="A57" s="9" t="inlineStr">
        <is>
          <t>Lifecycle</t>
        </is>
      </c>
      <c r="B57" s="9" t="inlineStr">
        <is>
          <t>Warranty Strength</t>
        </is>
      </c>
      <c r="C57" s="9" t="inlineStr">
        <is>
          <t>Important</t>
        </is>
      </c>
      <c r="D57" s="9" t="n">
        <v>8</v>
      </c>
      <c r="E57" s="7" t="inlineStr">
        <is>
          <t>N</t>
        </is>
      </c>
      <c r="F57" s="7" t="inlineStr"/>
      <c r="G57" s="9">
        <f>IF(OR(E57&lt;&gt;"Y",F57=""),"",D57*F57)</f>
        <v/>
      </c>
      <c r="H57" s="9">
        <f>IF(OR(E57&lt;&gt;"Y",F57=""),"",IF(F57&gt;=7,"Pass","Fail"))</f>
        <v/>
      </c>
      <c r="I57" s="9" t="inlineStr">
        <is>
          <t>Manufacturer</t>
        </is>
      </c>
    </row>
    <row r="59">
      <c r="A59" s="2" t="inlineStr">
        <is>
          <t>TOTALS (applicable rows only)</t>
        </is>
      </c>
      <c r="D59">
        <f>SUMIF(E5:E57,"Y",D5:D57)</f>
        <v/>
      </c>
      <c r="F59" t="inlineStr">
        <is>
          <t>Max weighted possible:</t>
        </is>
      </c>
      <c r="G59">
        <f>SUMIF(E5:E57,"Y",D5:D57)*10</f>
        <v/>
      </c>
    </row>
    <row r="60">
      <c r="F60" t="inlineStr">
        <is>
          <t>Earned weighted points:</t>
        </is>
      </c>
      <c r="G60">
        <f>SUM(G5:G57)</f>
        <v/>
      </c>
    </row>
    <row r="61">
      <c r="F61" t="inlineStr">
        <is>
          <t>Engineering %:</t>
        </is>
      </c>
      <c r="G61" s="10">
        <f>IF(G59=0,"",G60/G59)</f>
        <v/>
      </c>
    </row>
    <row r="62">
      <c r="F62" t="inlineStr">
        <is>
          <t>Named for Results →</t>
        </is>
      </c>
      <c r="G62">
        <f>G61</f>
        <v/>
      </c>
    </row>
  </sheetData>
  <mergeCells count="1">
    <mergeCell ref="A1:I1"/>
  </mergeCells>
  <dataValidations count="1">
    <dataValidation sqref="E5 E6 E7 E8 E9 E10 E11 E12 E13 E14 E15 E16 E17 E18 E19 E20 E21 E22 E23 E24 E25 E26 E27 E28 E29 E30 E31 E32 E33 E34 E35 E36 E37 E38 E39 E40 E41 E42 E43 E44 E45 E46 E47 E48 E49 E50 E51 E52 E53 E54 E55 E56 E57"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22" customWidth="1" min="1" max="1"/>
    <col width="28" customWidth="1" min="2" max="2"/>
    <col width="14" customWidth="1" min="3" max="3"/>
    <col width="14" customWidth="1" min="4" max="4"/>
    <col width="14" customWidth="1" min="5" max="5"/>
    <col width="14" customWidth="1" min="6" max="6"/>
    <col width="10" customWidth="1" min="7" max="7"/>
  </cols>
  <sheetData>
    <row r="1">
      <c r="A1" s="1" t="inlineStr">
        <is>
          <t>EDITORIAL / LITERATURE SCORECARD — for Eval Type = Book</t>
        </is>
      </c>
      <c r="K1" t="inlineStr">
        <is>
          <t>ED_PCT</t>
        </is>
      </c>
      <c r="L1" t="inlineStr">
        <is>
          <t>ED_FAILS</t>
        </is>
      </c>
    </row>
    <row r="2">
      <c r="A2" t="inlineStr">
        <is>
          <t>Title:</t>
        </is>
      </c>
      <c r="B2">
        <f>02_Intake!B3</f>
        <v/>
      </c>
      <c r="K2" s="8">
        <f>F27</f>
        <v/>
      </c>
      <c r="L2">
        <f>COUNTIF(G5:G25,"Fail")</f>
        <v/>
      </c>
    </row>
    <row r="4">
      <c r="A4" s="4" t="inlineStr">
        <is>
          <t>Editorial Metric Category</t>
        </is>
      </c>
      <c r="B4" s="4" t="inlineStr">
        <is>
          <t>Metric</t>
        </is>
      </c>
      <c r="C4" s="4" t="inlineStr">
        <is>
          <t>Weight (0–10)</t>
        </is>
      </c>
      <c r="D4" s="4" t="inlineStr">
        <is>
          <t>Applicable (Y/N)</t>
        </is>
      </c>
      <c r="E4" s="4" t="inlineStr">
        <is>
          <t>Score (0–10)</t>
        </is>
      </c>
      <c r="F4" s="4" t="inlineStr">
        <is>
          <t>Weighted Score</t>
        </is>
      </c>
      <c r="G4" s="4" t="inlineStr">
        <is>
          <t>Pass/Fail</t>
        </is>
      </c>
    </row>
    <row r="5">
      <c r="A5" s="9" t="inlineStr">
        <is>
          <t>Author Authority</t>
        </is>
      </c>
      <c r="B5" s="9" t="inlineStr">
        <is>
          <t>Professional Credentials</t>
        </is>
      </c>
      <c r="C5" s="9" t="n">
        <v>9</v>
      </c>
      <c r="D5" s="7" t="inlineStr">
        <is>
          <t>Y</t>
        </is>
      </c>
      <c r="E5" s="7" t="inlineStr"/>
      <c r="F5" s="9">
        <f>IF(OR(D5&lt;&gt;"Y",E5=""),"",C5*E5)</f>
        <v/>
      </c>
      <c r="G5" s="9">
        <f>IF(OR(D5&lt;&gt;"Y",E5=""),"",IF(E5&gt;=7,"Pass","Fail"))</f>
        <v/>
      </c>
    </row>
    <row r="6">
      <c r="A6" s="9" t="inlineStr">
        <is>
          <t>Author Authority</t>
        </is>
      </c>
      <c r="B6" s="9" t="inlineStr">
        <is>
          <t>Subject Matter Expertise</t>
        </is>
      </c>
      <c r="C6" s="9" t="n">
        <v>9</v>
      </c>
      <c r="D6" s="7" t="inlineStr">
        <is>
          <t>Y</t>
        </is>
      </c>
      <c r="E6" s="7" t="inlineStr"/>
      <c r="F6" s="9">
        <f>IF(OR(D6&lt;&gt;"Y",E6=""),"",C6*E6)</f>
        <v/>
      </c>
      <c r="G6" s="9">
        <f>IF(OR(D6&lt;&gt;"Y",E6=""),"",IF(E6&gt;=7,"Pass","Fail"))</f>
        <v/>
      </c>
    </row>
    <row r="7">
      <c r="A7" s="9" t="inlineStr">
        <is>
          <t>Author Authority</t>
        </is>
      </c>
      <c r="B7" s="9" t="inlineStr">
        <is>
          <t>Industry Recognition</t>
        </is>
      </c>
      <c r="C7" s="9" t="n">
        <v>8</v>
      </c>
      <c r="D7" s="7" t="inlineStr">
        <is>
          <t>Y</t>
        </is>
      </c>
      <c r="E7" s="7" t="inlineStr"/>
      <c r="F7" s="9">
        <f>IF(OR(D7&lt;&gt;"Y",E7=""),"",C7*E7)</f>
        <v/>
      </c>
      <c r="G7" s="9">
        <f>IF(OR(D7&lt;&gt;"Y",E7=""),"",IF(E7&gt;=7,"Pass","Fail"))</f>
        <v/>
      </c>
    </row>
    <row r="8">
      <c r="A8" s="9" t="inlineStr">
        <is>
          <t>Content Quality</t>
        </is>
      </c>
      <c r="B8" s="9" t="inlineStr">
        <is>
          <t>Accuracy</t>
        </is>
      </c>
      <c r="C8" s="9" t="n">
        <v>10</v>
      </c>
      <c r="D8" s="7" t="inlineStr">
        <is>
          <t>Y</t>
        </is>
      </c>
      <c r="E8" s="7" t="inlineStr"/>
      <c r="F8" s="9">
        <f>IF(OR(D8&lt;&gt;"Y",E8=""),"",C8*E8)</f>
        <v/>
      </c>
      <c r="G8" s="9">
        <f>IF(OR(D8&lt;&gt;"Y",E8=""),"",IF(E8&gt;=7,"Pass","Fail"))</f>
        <v/>
      </c>
    </row>
    <row r="9">
      <c r="A9" s="9" t="inlineStr">
        <is>
          <t>Content Quality</t>
        </is>
      </c>
      <c r="B9" s="9" t="inlineStr">
        <is>
          <t>Depth</t>
        </is>
      </c>
      <c r="C9" s="9" t="n">
        <v>9</v>
      </c>
      <c r="D9" s="7" t="inlineStr">
        <is>
          <t>Y</t>
        </is>
      </c>
      <c r="E9" s="7" t="inlineStr"/>
      <c r="F9" s="9">
        <f>IF(OR(D9&lt;&gt;"Y",E9=""),"",C9*E9)</f>
        <v/>
      </c>
      <c r="G9" s="9">
        <f>IF(OR(D9&lt;&gt;"Y",E9=""),"",IF(E9&gt;=7,"Pass","Fail"))</f>
        <v/>
      </c>
    </row>
    <row r="10">
      <c r="A10" s="9" t="inlineStr">
        <is>
          <t>Content Quality</t>
        </is>
      </c>
      <c r="B10" s="9" t="inlineStr">
        <is>
          <t>Completeness</t>
        </is>
      </c>
      <c r="C10" s="9" t="n">
        <v>8</v>
      </c>
      <c r="D10" s="7" t="inlineStr">
        <is>
          <t>Y</t>
        </is>
      </c>
      <c r="E10" s="7" t="inlineStr"/>
      <c r="F10" s="9">
        <f>IF(OR(D10&lt;&gt;"Y",E10=""),"",C10*E10)</f>
        <v/>
      </c>
      <c r="G10" s="9">
        <f>IF(OR(D10&lt;&gt;"Y",E10=""),"",IF(E10&gt;=7,"Pass","Fail"))</f>
        <v/>
      </c>
    </row>
    <row r="11">
      <c r="A11" s="9" t="inlineStr">
        <is>
          <t>Content Quality</t>
        </is>
      </c>
      <c r="B11" s="9" t="inlineStr">
        <is>
          <t>Evidence Use</t>
        </is>
      </c>
      <c r="C11" s="9" t="n">
        <v>9</v>
      </c>
      <c r="D11" s="7" t="inlineStr">
        <is>
          <t>Y</t>
        </is>
      </c>
      <c r="E11" s="7" t="inlineStr"/>
      <c r="F11" s="9">
        <f>IF(OR(D11&lt;&gt;"Y",E11=""),"",C11*E11)</f>
        <v/>
      </c>
      <c r="G11" s="9">
        <f>IF(OR(D11&lt;&gt;"Y",E11=""),"",IF(E11&gt;=7,"Pass","Fail"))</f>
        <v/>
      </c>
    </row>
    <row r="12">
      <c r="A12" s="9" t="inlineStr">
        <is>
          <t>Content Quality</t>
        </is>
      </c>
      <c r="B12" s="9" t="inlineStr">
        <is>
          <t>Logical Clarity</t>
        </is>
      </c>
      <c r="C12" s="9" t="n">
        <v>8</v>
      </c>
      <c r="D12" s="7" t="inlineStr">
        <is>
          <t>Y</t>
        </is>
      </c>
      <c r="E12" s="7" t="inlineStr"/>
      <c r="F12" s="9">
        <f>IF(OR(D12&lt;&gt;"Y",E12=""),"",C12*E12)</f>
        <v/>
      </c>
      <c r="G12" s="9">
        <f>IF(OR(D12&lt;&gt;"Y",E12=""),"",IF(E12&gt;=7,"Pass","Fail"))</f>
        <v/>
      </c>
    </row>
    <row r="13">
      <c r="A13" s="9" t="inlineStr">
        <is>
          <t>Reception</t>
        </is>
      </c>
      <c r="B13" s="9" t="inlineStr">
        <is>
          <t>Critical Reviews</t>
        </is>
      </c>
      <c r="C13" s="9" t="n">
        <v>7</v>
      </c>
      <c r="D13" s="7" t="inlineStr">
        <is>
          <t>Y</t>
        </is>
      </c>
      <c r="E13" s="7" t="inlineStr"/>
      <c r="F13" s="9">
        <f>IF(OR(D13&lt;&gt;"Y",E13=""),"",C13*E13)</f>
        <v/>
      </c>
      <c r="G13" s="9">
        <f>IF(OR(D13&lt;&gt;"Y",E13=""),"",IF(E13&gt;=7,"Pass","Fail"))</f>
        <v/>
      </c>
    </row>
    <row r="14">
      <c r="A14" s="9" t="inlineStr">
        <is>
          <t>Reception</t>
        </is>
      </c>
      <c r="B14" s="9" t="inlineStr">
        <is>
          <t>Reader Longevity</t>
        </is>
      </c>
      <c r="C14" s="9" t="n">
        <v>7</v>
      </c>
      <c r="D14" s="7" t="inlineStr">
        <is>
          <t>Y</t>
        </is>
      </c>
      <c r="E14" s="7" t="inlineStr"/>
      <c r="F14" s="9">
        <f>IF(OR(D14&lt;&gt;"Y",E14=""),"",C14*E14)</f>
        <v/>
      </c>
      <c r="G14" s="9">
        <f>IF(OR(D14&lt;&gt;"Y",E14=""),"",IF(E14&gt;=7,"Pass","Fail"))</f>
        <v/>
      </c>
    </row>
    <row r="15">
      <c r="A15" s="9" t="inlineStr">
        <is>
          <t>Reception</t>
        </is>
      </c>
      <c r="B15" s="9" t="inlineStr">
        <is>
          <t>Category Relevance</t>
        </is>
      </c>
      <c r="C15" s="9" t="n">
        <v>8</v>
      </c>
      <c r="D15" s="7" t="inlineStr">
        <is>
          <t>Y</t>
        </is>
      </c>
      <c r="E15" s="7" t="inlineStr"/>
      <c r="F15" s="9">
        <f>IF(OR(D15&lt;&gt;"Y",E15=""),"",C15*E15)</f>
        <v/>
      </c>
      <c r="G15" s="9">
        <f>IF(OR(D15&lt;&gt;"Y",E15=""),"",IF(E15&gt;=7,"Pass","Fail"))</f>
        <v/>
      </c>
    </row>
    <row r="16">
      <c r="A16" s="9" t="inlineStr">
        <is>
          <t>Reception</t>
        </is>
      </c>
      <c r="B16" s="9" t="inlineStr">
        <is>
          <t>Continued Relevance</t>
        </is>
      </c>
      <c r="C16" s="9" t="n">
        <v>7</v>
      </c>
      <c r="D16" s="7" t="inlineStr">
        <is>
          <t>Y</t>
        </is>
      </c>
      <c r="E16" s="7" t="inlineStr"/>
      <c r="F16" s="9">
        <f>IF(OR(D16&lt;&gt;"Y",E16=""),"",C16*E16)</f>
        <v/>
      </c>
      <c r="G16" s="9">
        <f>IF(OR(D16&lt;&gt;"Y",E16=""),"",IF(E16&gt;=7,"Pass","Fail"))</f>
        <v/>
      </c>
    </row>
    <row r="17">
      <c r="A17" s="9" t="inlineStr">
        <is>
          <t>Communication</t>
        </is>
      </c>
      <c r="B17" s="9" t="inlineStr">
        <is>
          <t>Clarity</t>
        </is>
      </c>
      <c r="C17" s="9" t="n">
        <v>9</v>
      </c>
      <c r="D17" s="7" t="inlineStr">
        <is>
          <t>Y</t>
        </is>
      </c>
      <c r="E17" s="7" t="inlineStr"/>
      <c r="F17" s="9">
        <f>IF(OR(D17&lt;&gt;"Y",E17=""),"",C17*E17)</f>
        <v/>
      </c>
      <c r="G17" s="9">
        <f>IF(OR(D17&lt;&gt;"Y",E17=""),"",IF(E17&gt;=7,"Pass","Fail"))</f>
        <v/>
      </c>
    </row>
    <row r="18">
      <c r="A18" s="9" t="inlineStr">
        <is>
          <t>Communication</t>
        </is>
      </c>
      <c r="B18" s="9" t="inlineStr">
        <is>
          <t>Accessibility</t>
        </is>
      </c>
      <c r="C18" s="9" t="n">
        <v>8</v>
      </c>
      <c r="D18" s="7" t="inlineStr">
        <is>
          <t>Y</t>
        </is>
      </c>
      <c r="E18" s="7" t="inlineStr"/>
      <c r="F18" s="9">
        <f>IF(OR(D18&lt;&gt;"Y",E18=""),"",C18*E18)</f>
        <v/>
      </c>
      <c r="G18" s="9">
        <f>IF(OR(D18&lt;&gt;"Y",E18=""),"",IF(E18&gt;=7,"Pass","Fail"))</f>
        <v/>
      </c>
    </row>
    <row r="19">
      <c r="A19" s="9" t="inlineStr">
        <is>
          <t>Communication</t>
        </is>
      </c>
      <c r="B19" s="9" t="inlineStr">
        <is>
          <t>Practical Applicability</t>
        </is>
      </c>
      <c r="C19" s="9" t="n">
        <v>8</v>
      </c>
      <c r="D19" s="7" t="inlineStr">
        <is>
          <t>Y</t>
        </is>
      </c>
      <c r="E19" s="7" t="inlineStr"/>
      <c r="F19" s="9">
        <f>IF(OR(D19&lt;&gt;"Y",E19=""),"",C19*E19)</f>
        <v/>
      </c>
      <c r="G19" s="9">
        <f>IF(OR(D19&lt;&gt;"Y",E19=""),"",IF(E19&gt;=7,"Pass","Fail"))</f>
        <v/>
      </c>
    </row>
    <row r="20">
      <c r="A20" s="9" t="inlineStr">
        <is>
          <t>Communication</t>
        </is>
      </c>
      <c r="B20" s="9" t="inlineStr">
        <is>
          <t>Narrative Coherence</t>
        </is>
      </c>
      <c r="C20" s="9" t="n">
        <v>8</v>
      </c>
      <c r="D20" s="7" t="inlineStr">
        <is>
          <t>Y</t>
        </is>
      </c>
      <c r="E20" s="7" t="inlineStr"/>
      <c r="F20" s="9">
        <f>IF(OR(D20&lt;&gt;"Y",E20=""),"",C20*E20)</f>
        <v/>
      </c>
      <c r="G20" s="9">
        <f>IF(OR(D20&lt;&gt;"Y",E20=""),"",IF(E20&gt;=7,"Pass","Fail"))</f>
        <v/>
      </c>
    </row>
    <row r="21">
      <c r="A21" s="9" t="inlineStr">
        <is>
          <t>Ethics</t>
        </is>
      </c>
      <c r="B21" s="9" t="inlineStr">
        <is>
          <t>Bias Avoidance</t>
        </is>
      </c>
      <c r="C21" s="9" t="n">
        <v>10</v>
      </c>
      <c r="D21" s="7" t="inlineStr">
        <is>
          <t>Y</t>
        </is>
      </c>
      <c r="E21" s="7" t="inlineStr"/>
      <c r="F21" s="9">
        <f>IF(OR(D21&lt;&gt;"Y",E21=""),"",C21*E21)</f>
        <v/>
      </c>
      <c r="G21" s="9">
        <f>IF(OR(D21&lt;&gt;"Y",E21=""),"",IF(E21&gt;=7,"Pass","Fail"))</f>
        <v/>
      </c>
    </row>
    <row r="22">
      <c r="A22" s="9" t="inlineStr">
        <is>
          <t>Ethics</t>
        </is>
      </c>
      <c r="B22" s="9" t="inlineStr">
        <is>
          <t>Ethical Presentation</t>
        </is>
      </c>
      <c r="C22" s="9" t="n">
        <v>10</v>
      </c>
      <c r="D22" s="7" t="inlineStr">
        <is>
          <t>Y</t>
        </is>
      </c>
      <c r="E22" s="7" t="inlineStr"/>
      <c r="F22" s="9">
        <f>IF(OR(D22&lt;&gt;"Y",E22=""),"",C22*E22)</f>
        <v/>
      </c>
      <c r="G22" s="9">
        <f>IF(OR(D22&lt;&gt;"Y",E22=""),"",IF(E22&gt;=7,"Pass","Fail"))</f>
        <v/>
      </c>
    </row>
    <row r="23">
      <c r="A23" s="9" t="inlineStr">
        <is>
          <t>Ethics</t>
        </is>
      </c>
      <c r="B23" s="9" t="inlineStr">
        <is>
          <t>Transparency</t>
        </is>
      </c>
      <c r="C23" s="9" t="n">
        <v>9</v>
      </c>
      <c r="D23" s="7" t="inlineStr">
        <is>
          <t>Y</t>
        </is>
      </c>
      <c r="E23" s="7" t="inlineStr"/>
      <c r="F23" s="9">
        <f>IF(OR(D23&lt;&gt;"Y",E23=""),"",C23*E23)</f>
        <v/>
      </c>
      <c r="G23" s="9">
        <f>IF(OR(D23&lt;&gt;"Y",E23=""),"",IF(E23&gt;=7,"Pass","Fail"))</f>
        <v/>
      </c>
    </row>
    <row r="24">
      <c r="A24" s="9" t="inlineStr">
        <is>
          <t>Ethics</t>
        </is>
      </c>
      <c r="B24" s="9" t="inlineStr">
        <is>
          <t>Category Alignment</t>
        </is>
      </c>
      <c r="C24" s="9" t="n">
        <v>9</v>
      </c>
      <c r="D24" s="7" t="inlineStr">
        <is>
          <t>Y</t>
        </is>
      </c>
      <c r="E24" s="7" t="inlineStr"/>
      <c r="F24" s="9">
        <f>IF(OR(D24&lt;&gt;"Y",E24=""),"",C24*E24)</f>
        <v/>
      </c>
      <c r="G24" s="9">
        <f>IF(OR(D24&lt;&gt;"Y",E24=""),"",IF(E24&gt;=7,"Pass","Fail"))</f>
        <v/>
      </c>
    </row>
    <row r="25">
      <c r="A25" s="9" t="inlineStr">
        <is>
          <t>Overall</t>
        </is>
      </c>
      <c r="B25" s="9" t="inlineStr">
        <is>
          <t>Editorial Quality</t>
        </is>
      </c>
      <c r="C25" s="9" t="n">
        <v>10</v>
      </c>
      <c r="D25" s="7" t="inlineStr">
        <is>
          <t>Y</t>
        </is>
      </c>
      <c r="E25" s="7" t="inlineStr"/>
      <c r="F25" s="9">
        <f>IF(OR(D25&lt;&gt;"Y",E25=""),"",C25*E25)</f>
        <v/>
      </c>
      <c r="G25" s="9">
        <f>IF(OR(D25&lt;&gt;"Y",E25=""),"",IF(E25&gt;=7,"Pass","Fail"))</f>
        <v/>
      </c>
    </row>
    <row r="27">
      <c r="E27" t="inlineStr">
        <is>
          <t>Editorial %:</t>
        </is>
      </c>
      <c r="F27" s="10">
        <f>IF(SUMIF(D5:D25,"Y",C5:C25)=0,"",SUM(F5:F25)/(SUMIF(D5:D25,"Y",C5:C25)*10))</f>
        <v/>
      </c>
    </row>
  </sheetData>
  <mergeCells count="1">
    <mergeCell ref="A1:G1"/>
  </mergeCells>
  <dataValidations count="1">
    <dataValidation sqref="D5 D6 D7 D8 D9 D10 D11 D12 D13 D14 D15 D16 D17 D18 D19 D20 D21 D22 D23 D24 D25"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16" customWidth="1" min="1" max="1"/>
    <col width="22" customWidth="1" min="2" max="2"/>
    <col width="18" customWidth="1" min="3" max="3"/>
    <col width="22" customWidth="1" min="4" max="4"/>
    <col width="16" customWidth="1" min="5" max="5"/>
    <col width="12" customWidth="1" min="6" max="6"/>
    <col width="30" customWidth="1" min="7" max="7"/>
  </cols>
  <sheetData>
    <row r="1">
      <c r="A1" s="1" t="inlineStr">
        <is>
          <t>COMPLIANCE CHECKLIST — this product</t>
        </is>
      </c>
      <c r="K1" t="inlineStr">
        <is>
          <t>COMP_FAILS</t>
        </is>
      </c>
    </row>
    <row r="2">
      <c r="K2">
        <f>COUNTIF(D4:D24,"N")</f>
        <v/>
      </c>
    </row>
    <row r="3">
      <c r="A3" s="4" t="inlineStr">
        <is>
          <t>Compliance Body</t>
        </is>
      </c>
      <c r="B3" s="4" t="inlineStr">
        <is>
          <t>Category</t>
        </is>
      </c>
      <c r="C3" s="4" t="inlineStr">
        <is>
          <t>Required</t>
        </is>
      </c>
      <c r="D3" s="4" t="inlineStr">
        <is>
          <t>Product Compliant? (Y/N/NA)</t>
        </is>
      </c>
      <c r="E3" s="4" t="inlineStr">
        <is>
          <t>Certification #</t>
        </is>
      </c>
      <c r="F3" s="4" t="inlineStr">
        <is>
          <t>Expiration</t>
        </is>
      </c>
      <c r="G3" s="4" t="inlineStr">
        <is>
          <t>Notes</t>
        </is>
      </c>
    </row>
    <row r="4">
      <c r="A4" t="inlineStr">
        <is>
          <t>UL</t>
        </is>
      </c>
      <c r="B4" t="inlineStr">
        <is>
          <t>Electrical</t>
        </is>
      </c>
      <c r="C4" t="inlineStr">
        <is>
          <t>Yes</t>
        </is>
      </c>
      <c r="D4" s="11" t="inlineStr"/>
      <c r="E4" s="11" t="inlineStr"/>
      <c r="F4" s="11" t="inlineStr"/>
      <c r="G4" s="11" t="inlineStr"/>
    </row>
    <row r="5">
      <c r="A5" t="inlineStr">
        <is>
          <t>ETL</t>
        </is>
      </c>
      <c r="B5" t="inlineStr">
        <is>
          <t>Electrical</t>
        </is>
      </c>
      <c r="C5" t="inlineStr">
        <is>
          <t>Yes</t>
        </is>
      </c>
      <c r="D5" s="11" t="inlineStr"/>
      <c r="E5" s="11" t="inlineStr"/>
      <c r="F5" s="11" t="inlineStr"/>
      <c r="G5" s="11" t="inlineStr"/>
    </row>
    <row r="6">
      <c r="A6" t="inlineStr">
        <is>
          <t>CSA</t>
        </is>
      </c>
      <c r="B6" t="inlineStr">
        <is>
          <t>Electrical</t>
        </is>
      </c>
      <c r="C6" t="inlineStr">
        <is>
          <t>Yes</t>
        </is>
      </c>
      <c r="D6" s="11" t="inlineStr"/>
      <c r="E6" s="11" t="inlineStr"/>
      <c r="F6" s="11" t="inlineStr"/>
      <c r="G6" s="11" t="inlineStr"/>
    </row>
    <row r="7">
      <c r="A7" t="inlineStr">
        <is>
          <t>FCC</t>
        </is>
      </c>
      <c r="B7" t="inlineStr">
        <is>
          <t>Digital</t>
        </is>
      </c>
      <c r="C7" t="inlineStr">
        <is>
          <t>Yes</t>
        </is>
      </c>
      <c r="D7" s="11" t="inlineStr"/>
      <c r="E7" s="11" t="inlineStr"/>
      <c r="F7" s="11" t="inlineStr"/>
      <c r="G7" s="11" t="inlineStr"/>
    </row>
    <row r="8">
      <c r="A8" t="inlineStr">
        <is>
          <t>CE</t>
        </is>
      </c>
      <c r="B8" t="inlineStr">
        <is>
          <t>Electrical/Environmental</t>
        </is>
      </c>
      <c r="C8" t="inlineStr">
        <is>
          <t>Yes</t>
        </is>
      </c>
      <c r="D8" s="11" t="inlineStr"/>
      <c r="E8" s="11" t="inlineStr"/>
      <c r="F8" s="11" t="inlineStr"/>
      <c r="G8" s="11" t="inlineStr"/>
    </row>
    <row r="9">
      <c r="A9" t="inlineStr">
        <is>
          <t>RoHS</t>
        </is>
      </c>
      <c r="B9" t="inlineStr">
        <is>
          <t>Electronics</t>
        </is>
      </c>
      <c r="C9" t="inlineStr">
        <is>
          <t>Yes</t>
        </is>
      </c>
      <c r="D9" s="11" t="inlineStr"/>
      <c r="E9" s="11" t="inlineStr"/>
      <c r="F9" s="11" t="inlineStr"/>
      <c r="G9" s="11" t="inlineStr"/>
    </row>
    <row r="10">
      <c r="A10" t="inlineStr">
        <is>
          <t>Energy Star</t>
        </is>
      </c>
      <c r="B10" t="inlineStr">
        <is>
          <t>Electrical</t>
        </is>
      </c>
      <c r="C10" t="inlineStr">
        <is>
          <t>Optional</t>
        </is>
      </c>
      <c r="D10" s="11" t="inlineStr"/>
      <c r="E10" s="11" t="inlineStr"/>
      <c r="F10" s="11" t="inlineStr"/>
      <c r="G10" s="11" t="inlineStr"/>
    </row>
    <row r="11">
      <c r="A11" t="inlineStr">
        <is>
          <t>ISO 9001</t>
        </is>
      </c>
      <c r="B11" t="inlineStr">
        <is>
          <t>Manufacturing</t>
        </is>
      </c>
      <c r="C11" t="inlineStr">
        <is>
          <t>Yes</t>
        </is>
      </c>
      <c r="D11" s="11" t="inlineStr"/>
      <c r="E11" s="11" t="inlineStr"/>
      <c r="F11" s="11" t="inlineStr"/>
      <c r="G11" s="11" t="inlineStr"/>
    </row>
    <row r="12">
      <c r="A12" t="inlineStr">
        <is>
          <t>ISO/IEC</t>
        </is>
      </c>
      <c r="B12" t="inlineStr">
        <is>
          <t>Electrical/Digital</t>
        </is>
      </c>
      <c r="C12" t="inlineStr">
        <is>
          <t>Yes</t>
        </is>
      </c>
      <c r="D12" s="11" t="inlineStr"/>
      <c r="E12" s="11" t="inlineStr"/>
      <c r="F12" s="11" t="inlineStr"/>
      <c r="G12" s="11" t="inlineStr"/>
    </row>
    <row r="13">
      <c r="A13" t="inlineStr">
        <is>
          <t>IATF 16949</t>
        </is>
      </c>
      <c r="B13" t="inlineStr">
        <is>
          <t>Manufacturing</t>
        </is>
      </c>
      <c r="C13" t="inlineStr">
        <is>
          <t>Category-specific</t>
        </is>
      </c>
      <c r="D13" s="11" t="inlineStr"/>
      <c r="E13" s="11" t="inlineStr"/>
      <c r="F13" s="11" t="inlineStr"/>
      <c r="G13" s="11" t="inlineStr"/>
    </row>
    <row r="14">
      <c r="A14" t="inlineStr">
        <is>
          <t>AS9100</t>
        </is>
      </c>
      <c r="B14" t="inlineStr">
        <is>
          <t>Aerospace</t>
        </is>
      </c>
      <c r="C14" t="inlineStr">
        <is>
          <t>Category-specific</t>
        </is>
      </c>
      <c r="D14" s="11" t="inlineStr"/>
      <c r="E14" s="11" t="inlineStr"/>
      <c r="F14" s="11" t="inlineStr"/>
      <c r="G14" s="11" t="inlineStr"/>
    </row>
    <row r="15">
      <c r="A15" t="inlineStr">
        <is>
          <t>AWI</t>
        </is>
      </c>
      <c r="B15" t="inlineStr">
        <is>
          <t>Woodworking</t>
        </is>
      </c>
      <c r="C15" t="inlineStr">
        <is>
          <t>Category-specific</t>
        </is>
      </c>
      <c r="D15" s="11" t="inlineStr"/>
      <c r="E15" s="11" t="inlineStr"/>
      <c r="F15" s="11" t="inlineStr"/>
      <c r="G15" s="11" t="inlineStr"/>
    </row>
    <row r="16">
      <c r="A16" t="inlineStr">
        <is>
          <t>NHLA</t>
        </is>
      </c>
      <c r="B16" t="inlineStr">
        <is>
          <t>Hardwood</t>
        </is>
      </c>
      <c r="C16" t="inlineStr">
        <is>
          <t>Category-specific</t>
        </is>
      </c>
      <c r="D16" s="11" t="inlineStr"/>
      <c r="E16" s="11" t="inlineStr"/>
      <c r="F16" s="11" t="inlineStr"/>
      <c r="G16" s="11" t="inlineStr"/>
    </row>
    <row r="17">
      <c r="A17" t="inlineStr">
        <is>
          <t>ANSI</t>
        </is>
      </c>
      <c r="B17" t="inlineStr">
        <is>
          <t>Machinery</t>
        </is>
      </c>
      <c r="C17" t="inlineStr">
        <is>
          <t>Category-specific</t>
        </is>
      </c>
      <c r="D17" s="11" t="inlineStr"/>
      <c r="E17" s="11" t="inlineStr"/>
      <c r="F17" s="11" t="inlineStr"/>
      <c r="G17" s="11" t="inlineStr"/>
    </row>
    <row r="18">
      <c r="A18" t="inlineStr">
        <is>
          <t>CIE</t>
        </is>
      </c>
      <c r="B18" t="inlineStr">
        <is>
          <t>Lighting</t>
        </is>
      </c>
      <c r="C18" t="inlineStr">
        <is>
          <t>Category-specific</t>
        </is>
      </c>
      <c r="D18" s="11" t="inlineStr"/>
      <c r="E18" s="11" t="inlineStr"/>
      <c r="F18" s="11" t="inlineStr"/>
      <c r="G18" s="11" t="inlineStr"/>
    </row>
    <row r="19">
      <c r="A19" t="inlineStr">
        <is>
          <t>IES</t>
        </is>
      </c>
      <c r="B19" t="inlineStr">
        <is>
          <t>Lighting</t>
        </is>
      </c>
      <c r="C19" t="inlineStr">
        <is>
          <t>Category-specific</t>
        </is>
      </c>
      <c r="D19" s="11" t="inlineStr"/>
      <c r="E19" s="11" t="inlineStr"/>
      <c r="F19" s="11" t="inlineStr"/>
      <c r="G19" s="11" t="inlineStr"/>
    </row>
    <row r="20">
      <c r="A20" t="inlineStr">
        <is>
          <t>BIFMA</t>
        </is>
      </c>
      <c r="B20" t="inlineStr">
        <is>
          <t>Workspace</t>
        </is>
      </c>
      <c r="C20" t="inlineStr">
        <is>
          <t>Category-specific</t>
        </is>
      </c>
      <c r="D20" s="11" t="inlineStr"/>
      <c r="E20" s="11" t="inlineStr"/>
      <c r="F20" s="11" t="inlineStr"/>
      <c r="G20" s="11" t="inlineStr"/>
    </row>
    <row r="21">
      <c r="A21" t="inlineStr">
        <is>
          <t>AES</t>
        </is>
      </c>
      <c r="B21" t="inlineStr">
        <is>
          <t>Audio</t>
        </is>
      </c>
      <c r="C21" t="inlineStr">
        <is>
          <t>Category-specific</t>
        </is>
      </c>
      <c r="D21" s="11" t="inlineStr"/>
      <c r="E21" s="11" t="inlineStr"/>
      <c r="F21" s="11" t="inlineStr"/>
      <c r="G21" s="11" t="inlineStr"/>
    </row>
    <row r="22">
      <c r="A22" t="inlineStr">
        <is>
          <t>SPJ</t>
        </is>
      </c>
      <c r="B22" t="inlineStr">
        <is>
          <t>Editorial</t>
        </is>
      </c>
      <c r="C22" t="inlineStr">
        <is>
          <t>Editorial</t>
        </is>
      </c>
      <c r="D22" s="11" t="inlineStr"/>
      <c r="E22" s="11" t="inlineStr"/>
      <c r="F22" s="11" t="inlineStr"/>
      <c r="G22" s="11" t="inlineStr"/>
    </row>
    <row r="23">
      <c r="A23" t="inlineStr">
        <is>
          <t>APA</t>
        </is>
      </c>
      <c r="B23" t="inlineStr">
        <is>
          <t>Editorial</t>
        </is>
      </c>
      <c r="C23" t="inlineStr">
        <is>
          <t>Editorial</t>
        </is>
      </c>
      <c r="D23" s="11" t="inlineStr"/>
      <c r="E23" s="11" t="inlineStr"/>
      <c r="F23" s="11" t="inlineStr"/>
      <c r="G23" s="11" t="inlineStr"/>
    </row>
    <row r="24">
      <c r="A24" t="inlineStr">
        <is>
          <t>FTC</t>
        </is>
      </c>
      <c r="B24" t="inlineStr">
        <is>
          <t>Editorial</t>
        </is>
      </c>
      <c r="C24" t="inlineStr">
        <is>
          <t>Editorial</t>
        </is>
      </c>
      <c r="D24" s="11" t="inlineStr"/>
      <c r="E24" s="11" t="inlineStr"/>
      <c r="F24" s="11" t="inlineStr"/>
      <c r="G24" s="11" t="inlineStr"/>
    </row>
  </sheetData>
  <dataValidations count="1">
    <dataValidation sqref="D4 D5 D6 D7 D8 D9 D10 D11 D12 D13 D14 D15 D16 D17 D18 D19 D20 D21 D22 D23 D24" showDropDown="0" showInputMessage="0" showErrorMessage="0" allowBlank="1" type="list">
      <formula1>"Y,N,NA"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4" customWidth="1" min="1" max="1"/>
    <col width="22" customWidth="1" min="2" max="2"/>
    <col width="10" customWidth="1" min="3" max="3"/>
    <col width="42" customWidth="1" min="4" max="4"/>
    <col width="10" customWidth="1" min="5" max="5"/>
  </cols>
  <sheetData>
    <row r="1">
      <c r="A1" s="1" t="inlineStr">
        <is>
          <t>CATEGORY MISSION-CRITICAL BENCHMARKS (from your Cat. Benchmark + Mission-Critical tabs)</t>
        </is>
      </c>
    </row>
    <row r="3">
      <c r="A3" s="4" t="inlineStr">
        <is>
          <t>Category</t>
        </is>
      </c>
      <c r="B3" s="4" t="inlineStr">
        <is>
          <t>Component</t>
        </is>
      </c>
      <c r="C3" s="4" t="inlineStr">
        <is>
          <t>Weight</t>
        </is>
      </c>
      <c r="D3" s="4" t="inlineStr">
        <is>
          <t>Minimum Threshold</t>
        </is>
      </c>
      <c r="E3" s="4" t="inlineStr">
        <is>
          <t>Required</t>
        </is>
      </c>
    </row>
    <row r="4">
      <c r="A4" t="inlineStr">
        <is>
          <t>Desks</t>
        </is>
      </c>
      <c r="B4" t="inlineStr">
        <is>
          <t>Frame Material</t>
        </is>
      </c>
      <c r="C4" t="n">
        <v>9</v>
      </c>
      <c r="D4" t="inlineStr">
        <is>
          <t>High-grade steel/aluminum</t>
        </is>
      </c>
      <c r="E4" t="inlineStr">
        <is>
          <t>Yes</t>
        </is>
      </c>
    </row>
    <row r="5">
      <c r="A5" t="inlineStr">
        <is>
          <t>Desks</t>
        </is>
      </c>
      <c r="B5" t="inlineStr">
        <is>
          <t>Joinery Method</t>
        </is>
      </c>
      <c r="C5" t="n">
        <v>8</v>
      </c>
      <c r="D5" t="inlineStr">
        <is>
          <t>AWI-approved</t>
        </is>
      </c>
      <c r="E5" t="inlineStr">
        <is>
          <t>Yes</t>
        </is>
      </c>
    </row>
    <row r="6">
      <c r="A6" t="inlineStr">
        <is>
          <t>Desks</t>
        </is>
      </c>
      <c r="B6" t="inlineStr">
        <is>
          <t>Desktop Composition</t>
        </is>
      </c>
      <c r="C6" t="n">
        <v>7</v>
      </c>
      <c r="D6" t="inlineStr">
        <is>
          <t>Solid wood or high-grade composite</t>
        </is>
      </c>
      <c r="E6" t="inlineStr">
        <is>
          <t>Yes</t>
        </is>
      </c>
    </row>
    <row r="7">
      <c r="A7" t="inlineStr">
        <is>
          <t>Speakers</t>
        </is>
      </c>
      <c r="B7" t="inlineStr">
        <is>
          <t>Driver Quality</t>
        </is>
      </c>
      <c r="C7" t="n">
        <v>9</v>
      </c>
      <c r="D7" t="inlineStr">
        <is>
          <t>AES-approved</t>
        </is>
      </c>
      <c r="E7" t="inlineStr">
        <is>
          <t>Yes</t>
        </is>
      </c>
    </row>
    <row r="8">
      <c r="A8" t="inlineStr">
        <is>
          <t>Speakers</t>
        </is>
      </c>
      <c r="B8" t="inlineStr">
        <is>
          <t>Cabinet Construction</t>
        </is>
      </c>
      <c r="C8" t="n">
        <v>8</v>
      </c>
      <c r="D8" t="inlineStr">
        <is>
          <t>Internal bracing required</t>
        </is>
      </c>
      <c r="E8" t="inlineStr">
        <is>
          <t>Yes</t>
        </is>
      </c>
    </row>
    <row r="9">
      <c r="A9" t="inlineStr">
        <is>
          <t>Lighting</t>
        </is>
      </c>
      <c r="B9" t="inlineStr">
        <is>
          <t>LED Binning</t>
        </is>
      </c>
      <c r="C9" t="n">
        <v>9</v>
      </c>
      <c r="D9" t="inlineStr">
        <is>
          <t>CIE-approved</t>
        </is>
      </c>
      <c r="E9" t="inlineStr">
        <is>
          <t>Yes</t>
        </is>
      </c>
    </row>
    <row r="10">
      <c r="A10" t="inlineStr">
        <is>
          <t>Lighting</t>
        </is>
      </c>
      <c r="B10" t="inlineStr">
        <is>
          <t>CRI</t>
        </is>
      </c>
      <c r="C10" t="n">
        <v>8</v>
      </c>
      <c r="D10" t="inlineStr">
        <is>
          <t>≥90</t>
        </is>
      </c>
      <c r="E10" t="inlineStr">
        <is>
          <t>Yes</t>
        </is>
      </c>
    </row>
    <row r="11">
      <c r="A11" t="inlineStr">
        <is>
          <t>Automation</t>
        </is>
      </c>
      <c r="B11" t="inlineStr">
        <is>
          <t>Protocol Reliability</t>
        </is>
      </c>
      <c r="C11" t="n">
        <v>9</v>
      </c>
      <c r="D11" t="inlineStr">
        <is>
          <t>Matter/Zigbee/Z-Wave</t>
        </is>
      </c>
      <c r="E11" t="inlineStr">
        <is>
          <t>Yes</t>
        </is>
      </c>
    </row>
    <row r="12">
      <c r="A12" t="inlineStr">
        <is>
          <t>Automation</t>
        </is>
      </c>
      <c r="B12" t="inlineStr">
        <is>
          <t>Sensor Accuracy</t>
        </is>
      </c>
      <c r="C12" t="n">
        <v>8</v>
      </c>
      <c r="D12" t="inlineStr">
        <is>
          <t>IEC-approved</t>
        </is>
      </c>
      <c r="E12" t="inlineStr">
        <is>
          <t>Yes</t>
        </is>
      </c>
    </row>
    <row r="13">
      <c r="A13" t="inlineStr">
        <is>
          <t>Computing</t>
        </is>
      </c>
      <c r="B13" t="inlineStr">
        <is>
          <t>CPU Architecture</t>
        </is>
      </c>
      <c r="C13" t="n">
        <v>9</v>
      </c>
      <c r="D13" t="inlineStr">
        <is>
          <t>Modern multi-core</t>
        </is>
      </c>
      <c r="E13" t="inlineStr">
        <is>
          <t>Yes</t>
        </is>
      </c>
    </row>
    <row r="14">
      <c r="A14" t="inlineStr">
        <is>
          <t>Computing</t>
        </is>
      </c>
      <c r="B14" t="inlineStr">
        <is>
          <t>SSD Controller</t>
        </is>
      </c>
      <c r="C14" t="n">
        <v>8</v>
      </c>
      <c r="D14" t="inlineStr">
        <is>
          <t>Tier-1 controller</t>
        </is>
      </c>
      <c r="E14" t="inlineStr">
        <is>
          <t>Yes</t>
        </is>
      </c>
    </row>
    <row r="15">
      <c r="A15" t="inlineStr">
        <is>
          <t>Monitors</t>
        </is>
      </c>
      <c r="B15" t="inlineStr">
        <is>
          <t>Panel Type</t>
        </is>
      </c>
      <c r="C15" t="n">
        <v>9</v>
      </c>
      <c r="D15" t="inlineStr">
        <is>
          <t>IPS / IPS Black / OLED as category-fit</t>
        </is>
      </c>
      <c r="E15" t="inlineStr">
        <is>
          <t>Yes</t>
        </is>
      </c>
    </row>
    <row r="16">
      <c r="A16" t="inlineStr">
        <is>
          <t>Monitors</t>
        </is>
      </c>
      <c r="B16" t="inlineStr">
        <is>
          <t>Color Accuracy</t>
        </is>
      </c>
      <c r="C16" t="n">
        <v>8</v>
      </c>
      <c r="D16" t="inlineStr">
        <is>
          <t>Delta E targets per hub addendum</t>
        </is>
      </c>
      <c r="E16" t="inlineStr">
        <is>
          <t>Yes</t>
        </is>
      </c>
    </row>
    <row r="17">
      <c r="A17" t="inlineStr">
        <is>
          <t>Headphones</t>
        </is>
      </c>
      <c r="B17" t="inlineStr">
        <is>
          <t>Driver Quality</t>
        </is>
      </c>
      <c r="C17" t="n">
        <v>9</v>
      </c>
      <c r="D17" t="inlineStr">
        <is>
          <t>AES-relevant performance</t>
        </is>
      </c>
      <c r="E17" t="inlineStr">
        <is>
          <t>Yes</t>
        </is>
      </c>
    </row>
    <row r="18">
      <c r="A18" t="inlineStr">
        <is>
          <t>Headphones</t>
        </is>
      </c>
      <c r="B18" t="inlineStr">
        <is>
          <t>Comfort/Seal</t>
        </is>
      </c>
      <c r="C18" t="n">
        <v>8</v>
      </c>
      <c r="D18" t="inlineStr">
        <is>
          <t>Extended-wear viability</t>
        </is>
      </c>
      <c r="E1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8" customWidth="1" min="1" max="1"/>
    <col width="55" customWidth="1" min="2" max="2"/>
    <col width="14" customWidth="1" min="3" max="3"/>
    <col width="14" customWidth="1" min="4" max="4"/>
  </cols>
  <sheetData>
    <row r="1">
      <c r="A1" s="1" t="inlineStr">
        <is>
          <t>RESULTS — auto TC Grade + brief analysis</t>
        </is>
      </c>
    </row>
    <row r="3">
      <c r="A3" s="2" t="inlineStr">
        <is>
          <t>Product</t>
        </is>
      </c>
      <c r="B3" s="12">
        <f>02_Intake!B3</f>
        <v/>
      </c>
    </row>
    <row r="4">
      <c r="A4" s="2" t="inlineStr">
        <is>
          <t>ID / ASIN</t>
        </is>
      </c>
      <c r="B4" s="12">
        <f>02_Intake!B4</f>
        <v/>
      </c>
    </row>
    <row r="5">
      <c r="A5" s="2" t="inlineStr">
        <is>
          <t>Category</t>
        </is>
      </c>
      <c r="B5" s="12">
        <f>02_Intake!B7</f>
        <v/>
      </c>
    </row>
    <row r="6">
      <c r="A6" s="2" t="inlineStr">
        <is>
          <t>Eval Type</t>
        </is>
      </c>
      <c r="B6" s="12">
        <f>02_Intake!B8</f>
        <v/>
      </c>
    </row>
    <row r="8">
      <c r="A8" s="2" t="inlineStr">
        <is>
          <t>SCORE SUMMARY</t>
        </is>
      </c>
    </row>
    <row r="9">
      <c r="A9" t="inlineStr">
        <is>
          <t>Engineering %</t>
        </is>
      </c>
      <c r="B9" s="10">
        <f>IF(B6="Book","n/a",'03_Engineering_Score'!K2)</f>
        <v/>
      </c>
    </row>
    <row r="10">
      <c r="A10" t="inlineStr">
        <is>
          <t>Editorial %</t>
        </is>
      </c>
      <c r="B10" s="10">
        <f>IF(B6="Product","n/a",'04_Editorial_Score'!K2)</f>
        <v/>
      </c>
    </row>
    <row r="11">
      <c r="A11" t="inlineStr">
        <is>
          <t>Active path %</t>
        </is>
      </c>
      <c r="B11" s="10">
        <f>IF(B6="Book",IF(ISNUMBER(B10),B10,0),IF(ISNUMBER(B9),B9,0))</f>
        <v/>
      </c>
    </row>
    <row r="12">
      <c r="A12" t="inlineStr">
        <is>
          <t>Active path % (0-100)</t>
        </is>
      </c>
      <c r="B12" s="13">
        <f>IF(ISNUMBER(B11),B11*100,0)</f>
        <v/>
      </c>
    </row>
    <row r="14">
      <c r="A14" s="1" t="inlineStr">
        <is>
          <t>TC GRADE</t>
        </is>
      </c>
      <c r="B14" s="14">
        <f>IF(B12&gt;=90,5,IF(B12&gt;=85,4.5,IF(B12&gt;=80,4,IF(B12&gt;=70,3.5,IF(B12&gt;=60,3,IF(B12&gt;=50,2.5,2))))))</f>
        <v/>
      </c>
    </row>
    <row r="15">
      <c r="A15" t="inlineStr">
        <is>
          <t>Quality Band</t>
        </is>
      </c>
      <c r="B15" s="12">
        <f>IF(B12&gt;=90,"High",IF(B12&gt;=80,"Semi-High",IF(B12&gt;=70,"Middle",IF(B12&gt;=60,"Low-Middle",IF(B12&gt;=50,"Low","Entry / Basic")))))</f>
        <v/>
      </c>
    </row>
    <row r="16">
      <c r="A16" t="inlineStr">
        <is>
          <t>Engineering fails</t>
        </is>
      </c>
      <c r="B16">
        <f>'03_Engineering_Score'!L2</f>
        <v/>
      </c>
    </row>
    <row r="17">
      <c r="A17" t="inlineStr">
        <is>
          <t>Editorial fails</t>
        </is>
      </c>
      <c r="B17">
        <f>'04_Editorial_Score'!L2</f>
        <v/>
      </c>
    </row>
    <row r="18">
      <c r="A18" t="inlineStr">
        <is>
          <t>Compliance N counts</t>
        </is>
      </c>
      <c r="B18">
        <f>'05_Compliance'!K2</f>
        <v/>
      </c>
    </row>
    <row r="19">
      <c r="A19" t="inlineStr">
        <is>
          <t>Applicable eng metrics</t>
        </is>
      </c>
      <c r="B19">
        <f>'03_Engineering_Score'!M2</f>
        <v/>
      </c>
    </row>
    <row r="21">
      <c r="A21" s="2" t="inlineStr">
        <is>
          <t>PUBLISH RECOMMENDATION</t>
        </is>
      </c>
      <c r="B21" s="15">
        <f>IF(OR(B18&gt;0,AND(B6="Product",B16&gt;0),AND(B6="Book",B17&gt;0)),"Hold — resolve fails/compliance before publish",IF(B14&gt;=4,"Trusted Choice — eligible for page","Conditional — publish only with clear tradeoff notes"))</f>
        <v/>
      </c>
    </row>
    <row r="22"/>
    <row r="24">
      <c r="A24" s="2" t="inlineStr">
        <is>
          <t>BRIEF ANALYSIS (auto draft — edit tone before paste to site)</t>
        </is>
      </c>
    </row>
    <row r="25">
      <c r="A25" s="16">
        <f>CONCATENATE(B3," (",B5,") scores TC Grade ",TEXT(B14,"0.0")," (",B15," band) on the Truth Collective ",B6," path. Active score ",TEXT(B11,"0.0%"),". ",IF(B21="Trusted Choice — eligible for page","Meets Trusted Choice threshold for site listing. ","Requires human review before listing. "),IF(B4="","","Product ID: "&amp;B4&amp;". "))</f>
        <v/>
      </c>
    </row>
    <row r="26"/>
    <row r="27"/>
    <row r="28"/>
    <row r="30">
      <c r="A30" s="2" t="inlineStr">
        <is>
          <t>REASONS TO BUY (fill after scoring — short bullets for site Details)</t>
        </is>
      </c>
    </row>
    <row r="31">
      <c r="A31" s="11" t="inlineStr"/>
    </row>
    <row r="32"/>
    <row r="33">
      <c r="A33" s="2" t="inlineStr">
        <is>
          <t>REASONS TO AVOID / TRADEOFFS</t>
        </is>
      </c>
    </row>
    <row r="34">
      <c r="A34" s="11" t="inlineStr"/>
    </row>
    <row r="35"/>
    <row r="37">
      <c r="A37" s="6" t="inlineStr">
        <is>
          <t>Next engine upgrades (optional later)</t>
        </is>
      </c>
    </row>
    <row r="38">
      <c r="A38" s="3" t="inlineStr">
        <is>
          <t>1) Category presets that auto-set Applicable=Y for Monitors/Computing/etc.  2) Amazon ASIN lookup for title/price only (not grade).  3) Export HTML snippet for Custom HTML product tile.</t>
        </is>
      </c>
    </row>
    <row r="39"/>
  </sheetData>
  <mergeCells count="6">
    <mergeCell ref="B21:D22"/>
    <mergeCell ref="A38:D39"/>
    <mergeCell ref="A34:D35"/>
    <mergeCell ref="A1:B1"/>
    <mergeCell ref="A31:D32"/>
    <mergeCell ref="A25: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2026-08-03T16:13:37Z</dcterms:created>
  <dcterms:modified xsi:type="dcterms:W3CDTF">2026-08-03T16:13:37Z</dcterms:modified>
</cp:coreProperties>
</file>